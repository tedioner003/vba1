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:\0.vibe coding\"/>
    </mc:Choice>
  </mc:AlternateContent>
  <xr:revisionPtr revIDLastSave="0" documentId="8_{CF0B0254-B5ED-4AE9-B331-6D0F6CCB3333}" xr6:coauthVersionLast="47" xr6:coauthVersionMax="47" xr10:uidLastSave="{00000000-0000-0000-0000-000000000000}"/>
  <bookViews>
    <workbookView xWindow="-105" yWindow="0" windowWidth="17925" windowHeight="15585" tabRatio="888" activeTab="1" xr2:uid="{C9D54C01-74D7-478F-B5A9-730090696320}"/>
  </bookViews>
  <sheets>
    <sheet name="UnifiedLayout" sheetId="19" r:id="rId1"/>
    <sheet name="Alignment" sheetId="1" r:id="rId2"/>
  </sheets>
  <functionGroups builtInGroupCount="19"/>
  <definedNames>
    <definedName name="Alignment">Alignment!$B$8:$E$14</definedName>
    <definedName name="MAPI">Alignment!$C$3:$C$4</definedName>
    <definedName name="Offset">Alignment!$D$19:$E$22</definedName>
    <definedName name="Segment">Alignment!$B$27:$Q$59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9" i="1" l="1"/>
  <c r="C14" i="1"/>
</calcChain>
</file>

<file path=xl/sharedStrings.xml><?xml version="1.0" encoding="utf-8"?>
<sst xmlns="http://schemas.openxmlformats.org/spreadsheetml/2006/main" count="675" uniqueCount="91">
  <si>
    <t>NodeID</t>
  </si>
  <si>
    <t>X</t>
  </si>
  <si>
    <t>Y</t>
  </si>
  <si>
    <t>ElemID</t>
  </si>
  <si>
    <t>TYPE</t>
  </si>
  <si>
    <t>MATL</t>
  </si>
  <si>
    <t>SECT</t>
  </si>
  <si>
    <t>NODE_I</t>
  </si>
  <si>
    <t>NODE_J</t>
  </si>
  <si>
    <t>BEAM</t>
  </si>
  <si>
    <t>Line</t>
  </si>
  <si>
    <t>Skew_Angle</t>
  </si>
  <si>
    <t>Group</t>
  </si>
  <si>
    <t>Type</t>
    <phoneticPr fontId="1" type="noConversion"/>
  </si>
  <si>
    <t>Length</t>
    <phoneticPr fontId="1" type="noConversion"/>
  </si>
  <si>
    <t>Rad. Start</t>
    <phoneticPr fontId="1" type="noConversion"/>
  </si>
  <si>
    <t>Rad. End</t>
    <phoneticPr fontId="1" type="noConversion"/>
  </si>
  <si>
    <t>Count</t>
    <phoneticPr fontId="1" type="noConversion"/>
  </si>
  <si>
    <t>Group</t>
    <phoneticPr fontId="1" type="noConversion"/>
  </si>
  <si>
    <t>Matl. ID</t>
    <phoneticPr fontId="1" type="noConversion"/>
  </si>
  <si>
    <t>Sect. ID</t>
    <phoneticPr fontId="1" type="noConversion"/>
  </si>
  <si>
    <t>Node</t>
    <phoneticPr fontId="1" type="noConversion"/>
  </si>
  <si>
    <t>Line1</t>
  </si>
  <si>
    <t>Line1</t>
    <phoneticPr fontId="1" type="noConversion"/>
  </si>
  <si>
    <t>Line2</t>
    <phoneticPr fontId="1" type="noConversion"/>
  </si>
  <si>
    <t>Line3</t>
    <phoneticPr fontId="1" type="noConversion"/>
  </si>
  <si>
    <t>URL</t>
    <phoneticPr fontId="1" type="noConversion"/>
  </si>
  <si>
    <t>MAPI-KEY</t>
    <phoneticPr fontId="1" type="noConversion"/>
  </si>
  <si>
    <t>https://moa-engineers.midasit.com:443/civil</t>
  </si>
  <si>
    <t>eyJ1ciI6InlqdzA2MDgiLCJwZyI6ImNpdmlsIiwiY24iOiI4UU51UjR1Y1J3In0.d7b2a1f1509dd8074a1911b2d3ab592d83ea02b8677b5cba8dd2ffddba4991ee</t>
  </si>
  <si>
    <t>Cross Beam</t>
    <phoneticPr fontId="1" type="noConversion"/>
  </si>
  <si>
    <t>Cross</t>
    <phoneticPr fontId="1" type="noConversion"/>
  </si>
  <si>
    <t>Girder Segment</t>
    <phoneticPr fontId="1" type="noConversion"/>
  </si>
  <si>
    <t>IDs Start</t>
    <phoneticPr fontId="1" type="noConversion"/>
  </si>
  <si>
    <t>Top Level</t>
    <phoneticPr fontId="1" type="noConversion"/>
  </si>
  <si>
    <t>Bottom Level</t>
    <phoneticPr fontId="1" type="noConversion"/>
  </si>
  <si>
    <t>Sub Structure</t>
    <phoneticPr fontId="1" type="noConversion"/>
  </si>
  <si>
    <t>Z</t>
  </si>
  <si>
    <t>Sub1</t>
  </si>
  <si>
    <t>Sub1</t>
    <phoneticPr fontId="1" type="noConversion"/>
  </si>
  <si>
    <t>Node 1</t>
  </si>
  <si>
    <t>Node 2</t>
  </si>
  <si>
    <t>MIDAS Setting</t>
    <phoneticPr fontId="1" type="noConversion"/>
  </si>
  <si>
    <t>End of data</t>
    <phoneticPr fontId="1" type="noConversion"/>
  </si>
  <si>
    <t>Clothoid</t>
  </si>
  <si>
    <t>Arc</t>
  </si>
  <si>
    <t>Straight</t>
  </si>
  <si>
    <t>Alignment</t>
    <phoneticPr fontId="1" type="noConversion"/>
  </si>
  <si>
    <t>none</t>
  </si>
  <si>
    <t>Structure</t>
    <phoneticPr fontId="1" type="noConversion"/>
  </si>
  <si>
    <t>Distance</t>
    <phoneticPr fontId="1" type="noConversion"/>
  </si>
  <si>
    <t>Cross Start ID</t>
    <phoneticPr fontId="1" type="noConversion"/>
  </si>
  <si>
    <t>Girder Strat ID</t>
    <phoneticPr fontId="1" type="noConversion"/>
  </si>
  <si>
    <t>Spec</t>
    <phoneticPr fontId="1" type="noConversion"/>
  </si>
  <si>
    <t>Line</t>
    <phoneticPr fontId="1" type="noConversion"/>
  </si>
  <si>
    <t>i-node</t>
  </si>
  <si>
    <t>P1</t>
  </si>
  <si>
    <t>P1</t>
    <phoneticPr fontId="1" type="noConversion"/>
  </si>
  <si>
    <t>S1</t>
  </si>
  <si>
    <t>S1</t>
    <phoneticPr fontId="1" type="noConversion"/>
  </si>
  <si>
    <t>S2</t>
  </si>
  <si>
    <t>S2</t>
    <phoneticPr fontId="1" type="noConversion"/>
  </si>
  <si>
    <t>P2</t>
  </si>
  <si>
    <t>P2</t>
    <phoneticPr fontId="1" type="noConversion"/>
  </si>
  <si>
    <t>S3</t>
  </si>
  <si>
    <t>S3</t>
    <phoneticPr fontId="1" type="noConversion"/>
  </si>
  <si>
    <t>C1</t>
    <phoneticPr fontId="1" type="noConversion"/>
  </si>
  <si>
    <t>CP1</t>
    <phoneticPr fontId="1" type="noConversion"/>
  </si>
  <si>
    <t>C2</t>
    <phoneticPr fontId="1" type="noConversion"/>
  </si>
  <si>
    <t>CP2</t>
    <phoneticPr fontId="1" type="noConversion"/>
  </si>
  <si>
    <t>C3</t>
    <phoneticPr fontId="1" type="noConversion"/>
  </si>
  <si>
    <t>Sub2</t>
  </si>
  <si>
    <t>Sub2</t>
    <phoneticPr fontId="1" type="noConversion"/>
  </si>
  <si>
    <t>Sub_Pos12_Bottom</t>
  </si>
  <si>
    <t>Sub_Pos12_Top</t>
  </si>
  <si>
    <t>Sub_Pos12_Elem</t>
  </si>
  <si>
    <t>Sub_Pos30_Bottom</t>
  </si>
  <si>
    <t>Sub_Pos30_Top</t>
  </si>
  <si>
    <t>Sub_Pos30_Elem</t>
  </si>
  <si>
    <t>Line2</t>
  </si>
  <si>
    <t>Cross_Line1_Line2</t>
  </si>
  <si>
    <t>C1</t>
  </si>
  <si>
    <t>CP1</t>
  </si>
  <si>
    <t>C2</t>
  </si>
  <si>
    <t>CP2</t>
  </si>
  <si>
    <t>C3</t>
  </si>
  <si>
    <t>BetaAngle</t>
  </si>
  <si>
    <t>Cross_Middle_Pos12</t>
  </si>
  <si>
    <t>Cross_Line1_Middle</t>
  </si>
  <si>
    <t>Cross_Middle_Line2</t>
  </si>
  <si>
    <t>Cross_Middle_Pos30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</si>
</sst>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_ "/>
    <numFmt numFmtId="165" formatCode="0.0_ "/>
    <numFmt numFmtId="166" formatCode="0.00_ "/>
  </numFmts>
  <fonts count="9">
    <font>
      <sz val="11"/>
      <color theme="1"/>
      <name val="Aptos Narrow"/>
      <family val="2"/>
      <charset val="129"/>
      <scheme val="minor"/>
    </font>
    <font>
      <sz val="8"/>
      <name val="Aptos Narrow"/>
      <family val="2"/>
      <charset val="129"/>
      <scheme val="minor"/>
    </font>
    <font>
      <sz val="11"/>
      <color theme="0"/>
      <name val="Aptos Narrow"/>
      <family val="2"/>
      <charset val="129"/>
      <scheme val="minor"/>
    </font>
    <font>
      <b/>
      <sz val="11"/>
      <color theme="1"/>
      <name val="Aptos Narrow"/>
      <family val="3"/>
      <charset val="129"/>
      <scheme val="minor"/>
    </font>
    <font>
      <sz val="11"/>
      <color theme="1"/>
      <name val="Aptos Narrow"/>
      <family val="3"/>
      <charset val="129"/>
      <scheme val="minor"/>
    </font>
    <font>
      <b/>
      <sz val="11"/>
      <name val="Aptos Narrow"/>
      <family val="3"/>
      <charset val="129"/>
      <scheme val="minor"/>
    </font>
    <font>
      <sz val="11"/>
      <name val="Aptos Narrow"/>
      <family val="3"/>
      <charset val="129"/>
      <scheme val="minor"/>
    </font>
    <font>
      <sz val="11"/>
      <name val="Aptos Narrow"/>
      <family val="2"/>
      <charset val="129"/>
      <scheme val="minor"/>
    </font>
    <font>
      <sz val="11"/>
      <color rgb="FF000000"/>
      <name val="맑은 고딕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65" fontId="2" fillId="3" borderId="1" xfId="0" applyNumberFormat="1" applyFont="1" applyFill="1" applyBorder="1">
      <alignment vertical="center"/>
    </xf>
    <xf numFmtId="0" fontId="2" fillId="3" borderId="1" xfId="0" applyFont="1" applyFill="1" applyBorder="1" applyAlignment="1">
      <alignment horizontal="right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5" fillId="0" borderId="0" xfId="0" applyFont="1">
      <alignment vertical="center"/>
    </xf>
    <xf numFmtId="0" fontId="0" fillId="3" borderId="1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6" fontId="2" fillId="3" borderId="1" xfId="0" applyNumberFormat="1" applyFont="1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5" fontId="6" fillId="0" borderId="1" xfId="0" applyNumberFormat="1" applyFont="1" applyBorder="1">
      <alignment vertical="center"/>
    </xf>
    <xf numFmtId="0" fontId="7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1">
    <cellStyle name="Normal" xfId="0" builtinId="0"/>
  </cellStyles>
  <dxfs count="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381000</xdr:colOff>
          <xdr:row>1</xdr:row>
          <xdr:rowOff>114300</xdr:rowOff>
        </xdr:from>
        <xdr:to>
          <xdr:col>18</xdr:col>
          <xdr:colOff>123825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Build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333375</xdr:colOff>
          <xdr:row>3</xdr:row>
          <xdr:rowOff>219075</xdr:rowOff>
        </xdr:from>
        <xdr:to>
          <xdr:col>18</xdr:col>
          <xdr:colOff>152400</xdr:colOff>
          <xdr:row>5</xdr:row>
          <xdr:rowOff>219075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Build Data and Modeling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88AC752-8992-490C-B3F1-27F1E2A1C161}">
  <we:reference id="wa104380862" version="3.0.0.0" store="ko-KR" storeType="OMEX"/>
  <we:alternateReferences>
    <we:reference id="WA104380862" version="3.0.0.0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4D3AA-B5AA-4005-8FF1-E128F021A682}">
  <sheetPr codeName="Sheet18"/>
  <dimension ref="A1:S128"/>
  <sheetViews>
    <sheetView zoomScale="85" zoomScaleNormal="85" workbookViewId="0">
      <selection activeCell="Q112" sqref="Q112"/>
    </sheetView>
  </sheetViews>
  <sheetFormatPr defaultRowHeight="15"/>
  <cols>
    <col min="1" max="1" width="19.375" bestFit="1" customWidth="1"/>
    <col min="2" max="2" width="8" bestFit="1" customWidth="1"/>
    <col min="3" max="3" width="13.375" bestFit="1" customWidth="1"/>
    <col min="4" max="4" width="14.25" bestFit="1" customWidth="1"/>
    <col min="5" max="5" width="7.625" bestFit="1" customWidth="1"/>
    <col min="6" max="6" width="6.875" bestFit="1" customWidth="1"/>
    <col min="7" max="7" width="14.25" bestFit="1" customWidth="1"/>
    <col min="8" max="8" width="10.625" customWidth="1"/>
    <col min="9" max="9" width="7.5" bestFit="1" customWidth="1"/>
    <col min="10" max="10" width="6.625" bestFit="1" customWidth="1"/>
    <col min="11" max="11" width="6.375" bestFit="1" customWidth="1"/>
    <col min="12" max="12" width="5.75" bestFit="1" customWidth="1"/>
    <col min="13" max="13" width="8" bestFit="1" customWidth="1"/>
    <col min="14" max="14" width="8.125" bestFit="1" customWidth="1"/>
    <col min="15" max="15" width="14.25" bestFit="1" customWidth="1"/>
    <col min="16" max="16" width="6.875" bestFit="1" customWidth="1"/>
    <col min="17" max="17" width="6.5" bestFit="1" customWidth="1"/>
    <col min="18" max="18" width="7.75" bestFit="1" customWidth="1"/>
  </cols>
  <sheetData>
    <row r="1" spans="1:19">
      <c r="A1" t="s">
        <v>10</v>
      </c>
      <c r="B1" t="s">
        <v>0</v>
      </c>
      <c r="C1" t="s">
        <v>1</v>
      </c>
      <c r="D1" t="s">
        <v>2</v>
      </c>
      <c r="E1" t="s">
        <v>37</v>
      </c>
      <c r="F1" t="s">
        <v>12</v>
      </c>
      <c r="G1" t="s">
        <v>11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86</v>
      </c>
      <c r="P1" t="s">
        <v>12</v>
      </c>
      <c r="R1" t="s">
        <v>40</v>
      </c>
      <c r="S1" t="s">
        <v>41</v>
      </c>
    </row>
    <row r="2" spans="1:19">
      <c r="A2" t="s">
        <v>22</v>
      </c>
      <c r="B2">
        <v>10001</v>
      </c>
      <c r="C2">
        <v>0</v>
      </c>
      <c r="D2">
        <v>2</v>
      </c>
      <c r="E2">
        <v>0</v>
      </c>
      <c r="F2" t="s">
        <v>58</v>
      </c>
      <c r="G2">
        <v>0</v>
      </c>
      <c r="I2">
        <v>10001</v>
      </c>
      <c r="J2" t="s">
        <v>9</v>
      </c>
      <c r="K2">
        <v>101</v>
      </c>
      <c r="L2">
        <v>101</v>
      </c>
      <c r="M2">
        <v>10001</v>
      </c>
      <c r="N2">
        <v>10002</v>
      </c>
      <c r="O2">
        <v>0</v>
      </c>
      <c r="P2" t="s">
        <v>58</v>
      </c>
    </row>
    <row r="3" spans="1:19">
      <c r="A3" t="s">
        <v>22</v>
      </c>
      <c r="B3">
        <v>10002</v>
      </c>
      <c r="C3">
        <v>0.7</v>
      </c>
      <c r="D3">
        <v>2</v>
      </c>
      <c r="E3">
        <v>0</v>
      </c>
      <c r="F3" t="s">
        <v>58</v>
      </c>
      <c r="G3">
        <v>0</v>
      </c>
      <c r="I3">
        <v>10002</v>
      </c>
      <c r="J3" t="s">
        <v>9</v>
      </c>
      <c r="K3">
        <v>101</v>
      </c>
      <c r="L3">
        <v>101</v>
      </c>
      <c r="M3">
        <v>10002</v>
      </c>
      <c r="N3">
        <v>10003</v>
      </c>
      <c r="O3">
        <v>0</v>
      </c>
      <c r="P3" t="s">
        <v>58</v>
      </c>
    </row>
    <row r="4" spans="1:19">
      <c r="A4" t="s">
        <v>22</v>
      </c>
      <c r="B4">
        <v>10003</v>
      </c>
      <c r="C4">
        <v>1.8</v>
      </c>
      <c r="D4">
        <v>2</v>
      </c>
      <c r="E4">
        <v>0</v>
      </c>
      <c r="F4" t="s">
        <v>58</v>
      </c>
      <c r="G4">
        <v>0</v>
      </c>
      <c r="I4">
        <v>10003</v>
      </c>
      <c r="J4" t="s">
        <v>9</v>
      </c>
      <c r="K4">
        <v>101</v>
      </c>
      <c r="L4">
        <v>102</v>
      </c>
      <c r="M4">
        <v>10003</v>
      </c>
      <c r="N4">
        <v>10004</v>
      </c>
      <c r="O4">
        <v>0</v>
      </c>
      <c r="P4" t="s">
        <v>58</v>
      </c>
    </row>
    <row r="5" spans="1:19">
      <c r="A5" t="s">
        <v>22</v>
      </c>
      <c r="B5">
        <v>10004</v>
      </c>
      <c r="C5">
        <v>6.3</v>
      </c>
      <c r="D5">
        <v>2.0000000000000004</v>
      </c>
      <c r="E5">
        <v>0</v>
      </c>
      <c r="F5" t="s">
        <v>58</v>
      </c>
      <c r="G5">
        <v>0</v>
      </c>
      <c r="I5">
        <v>10004</v>
      </c>
      <c r="J5" t="s">
        <v>9</v>
      </c>
      <c r="K5">
        <v>101</v>
      </c>
      <c r="L5">
        <v>102</v>
      </c>
      <c r="M5">
        <v>10004</v>
      </c>
      <c r="N5">
        <v>10005</v>
      </c>
      <c r="O5">
        <v>0</v>
      </c>
      <c r="P5" t="s">
        <v>58</v>
      </c>
    </row>
    <row r="6" spans="1:19">
      <c r="A6" t="s">
        <v>22</v>
      </c>
      <c r="B6">
        <v>10005</v>
      </c>
      <c r="C6">
        <v>12.3</v>
      </c>
      <c r="D6">
        <v>2.0000000000000009</v>
      </c>
      <c r="E6">
        <v>0</v>
      </c>
      <c r="F6" t="s">
        <v>58</v>
      </c>
      <c r="G6">
        <v>0</v>
      </c>
      <c r="I6">
        <v>10005</v>
      </c>
      <c r="J6" t="s">
        <v>9</v>
      </c>
      <c r="K6">
        <v>101</v>
      </c>
      <c r="L6">
        <v>102</v>
      </c>
      <c r="M6">
        <v>10005</v>
      </c>
      <c r="N6">
        <v>10006</v>
      </c>
      <c r="O6">
        <v>0</v>
      </c>
      <c r="P6" t="s">
        <v>58</v>
      </c>
    </row>
    <row r="7" spans="1:19">
      <c r="A7" t="s">
        <v>22</v>
      </c>
      <c r="B7">
        <v>10006</v>
      </c>
      <c r="C7">
        <v>18.3</v>
      </c>
      <c r="D7">
        <v>2.0000000000000013</v>
      </c>
      <c r="E7">
        <v>0</v>
      </c>
      <c r="F7" t="s">
        <v>58</v>
      </c>
      <c r="G7">
        <v>0</v>
      </c>
      <c r="I7">
        <v>10006</v>
      </c>
      <c r="J7" t="s">
        <v>9</v>
      </c>
      <c r="K7">
        <v>101</v>
      </c>
      <c r="L7">
        <v>102</v>
      </c>
      <c r="M7">
        <v>10006</v>
      </c>
      <c r="N7">
        <v>10007</v>
      </c>
      <c r="O7">
        <v>0</v>
      </c>
      <c r="P7" t="s">
        <v>58</v>
      </c>
    </row>
    <row r="8" spans="1:19">
      <c r="A8" t="s">
        <v>22</v>
      </c>
      <c r="B8">
        <v>10007</v>
      </c>
      <c r="C8">
        <v>24.3</v>
      </c>
      <c r="D8">
        <v>2.0000000000000013</v>
      </c>
      <c r="E8">
        <v>0</v>
      </c>
      <c r="F8" t="s">
        <v>58</v>
      </c>
      <c r="G8">
        <v>0</v>
      </c>
      <c r="I8">
        <v>10007</v>
      </c>
      <c r="J8" t="s">
        <v>9</v>
      </c>
      <c r="K8">
        <v>101</v>
      </c>
      <c r="L8">
        <v>102</v>
      </c>
      <c r="M8">
        <v>10007</v>
      </c>
      <c r="N8">
        <v>10008</v>
      </c>
      <c r="O8">
        <v>0</v>
      </c>
      <c r="P8" t="s">
        <v>58</v>
      </c>
    </row>
    <row r="9" spans="1:19">
      <c r="A9" t="s">
        <v>22</v>
      </c>
      <c r="B9">
        <v>10008</v>
      </c>
      <c r="C9">
        <v>30.3</v>
      </c>
      <c r="D9">
        <v>2.0000000000000018</v>
      </c>
      <c r="E9">
        <v>0</v>
      </c>
      <c r="F9" t="s">
        <v>58</v>
      </c>
      <c r="G9">
        <v>0</v>
      </c>
      <c r="I9">
        <v>10008</v>
      </c>
      <c r="J9" t="s">
        <v>9</v>
      </c>
      <c r="K9">
        <v>101</v>
      </c>
      <c r="L9">
        <v>102</v>
      </c>
      <c r="M9">
        <v>10008</v>
      </c>
      <c r="N9">
        <v>10009</v>
      </c>
      <c r="O9">
        <v>0</v>
      </c>
      <c r="P9" t="s">
        <v>58</v>
      </c>
    </row>
    <row r="10" spans="1:19">
      <c r="A10" t="s">
        <v>22</v>
      </c>
      <c r="B10">
        <v>10009</v>
      </c>
      <c r="C10">
        <v>32.299999999999997</v>
      </c>
      <c r="D10">
        <v>2.0000000000000018</v>
      </c>
      <c r="E10">
        <v>0</v>
      </c>
      <c r="F10" t="s">
        <v>58</v>
      </c>
      <c r="G10">
        <v>0</v>
      </c>
      <c r="I10">
        <v>10009</v>
      </c>
      <c r="J10" t="s">
        <v>9</v>
      </c>
      <c r="K10">
        <v>101</v>
      </c>
      <c r="L10">
        <v>103</v>
      </c>
      <c r="M10">
        <v>10009</v>
      </c>
      <c r="N10">
        <v>10010</v>
      </c>
      <c r="O10">
        <v>0</v>
      </c>
      <c r="P10" t="s">
        <v>58</v>
      </c>
    </row>
    <row r="11" spans="1:19">
      <c r="A11" t="s">
        <v>22</v>
      </c>
      <c r="B11">
        <v>10010</v>
      </c>
      <c r="C11">
        <v>36.299999999999997</v>
      </c>
      <c r="D11">
        <v>2.0000000000000022</v>
      </c>
      <c r="E11">
        <v>0</v>
      </c>
      <c r="F11" t="s">
        <v>58</v>
      </c>
      <c r="G11">
        <v>0</v>
      </c>
      <c r="I11">
        <v>10010</v>
      </c>
      <c r="J11" t="s">
        <v>9</v>
      </c>
      <c r="K11">
        <v>101</v>
      </c>
      <c r="L11">
        <v>104</v>
      </c>
      <c r="M11">
        <v>10010</v>
      </c>
      <c r="N11">
        <v>10011</v>
      </c>
      <c r="O11">
        <v>0</v>
      </c>
      <c r="P11" t="s">
        <v>58</v>
      </c>
    </row>
    <row r="12" spans="1:19">
      <c r="A12" t="s">
        <v>22</v>
      </c>
      <c r="B12">
        <v>10011</v>
      </c>
      <c r="C12">
        <v>42.300661224845982</v>
      </c>
      <c r="D12">
        <v>1.9997464115224253</v>
      </c>
      <c r="E12">
        <v>0</v>
      </c>
      <c r="F12" t="s">
        <v>58</v>
      </c>
      <c r="G12">
        <v>-1.8943417101508132E-2</v>
      </c>
      <c r="I12">
        <v>10011</v>
      </c>
      <c r="J12" t="s">
        <v>9</v>
      </c>
      <c r="K12">
        <v>101</v>
      </c>
      <c r="L12">
        <v>105</v>
      </c>
      <c r="M12">
        <v>10011</v>
      </c>
      <c r="N12">
        <v>10012</v>
      </c>
      <c r="O12">
        <v>0</v>
      </c>
      <c r="P12" t="s">
        <v>58</v>
      </c>
    </row>
    <row r="13" spans="1:19">
      <c r="A13" t="s">
        <v>22</v>
      </c>
      <c r="B13">
        <v>10012</v>
      </c>
      <c r="C13">
        <v>46.304957368207681</v>
      </c>
      <c r="D13">
        <v>1.9947845362924472</v>
      </c>
      <c r="E13">
        <v>0</v>
      </c>
      <c r="F13" t="s">
        <v>56</v>
      </c>
      <c r="G13">
        <v>-0.14212934305464064</v>
      </c>
      <c r="I13">
        <v>10012</v>
      </c>
      <c r="J13" t="s">
        <v>9</v>
      </c>
      <c r="K13">
        <v>101</v>
      </c>
      <c r="L13">
        <v>106</v>
      </c>
      <c r="M13">
        <v>10012</v>
      </c>
      <c r="N13">
        <v>10013</v>
      </c>
      <c r="O13">
        <v>0</v>
      </c>
      <c r="P13" t="s">
        <v>56</v>
      </c>
    </row>
    <row r="14" spans="1:19">
      <c r="A14" t="s">
        <v>22</v>
      </c>
      <c r="B14">
        <v>10013</v>
      </c>
      <c r="C14">
        <v>48.308595836529243</v>
      </c>
      <c r="D14">
        <v>1.9880692482291662</v>
      </c>
      <c r="E14">
        <v>0</v>
      </c>
      <c r="F14" t="s">
        <v>56</v>
      </c>
      <c r="G14">
        <v>-0.24669414066601392</v>
      </c>
      <c r="I14">
        <v>10013</v>
      </c>
      <c r="J14" t="s">
        <v>9</v>
      </c>
      <c r="K14">
        <v>101</v>
      </c>
      <c r="L14">
        <v>106</v>
      </c>
      <c r="M14">
        <v>10013</v>
      </c>
      <c r="N14">
        <v>10014</v>
      </c>
      <c r="O14">
        <v>0</v>
      </c>
      <c r="P14" t="s">
        <v>56</v>
      </c>
    </row>
    <row r="15" spans="1:19">
      <c r="A15" t="s">
        <v>22</v>
      </c>
      <c r="B15">
        <v>10014</v>
      </c>
      <c r="C15">
        <v>50.313215868776631</v>
      </c>
      <c r="D15">
        <v>1.9771909606307509</v>
      </c>
      <c r="E15">
        <v>0</v>
      </c>
      <c r="F15" t="s">
        <v>60</v>
      </c>
      <c r="G15">
        <v>-0.37990682803392517</v>
      </c>
      <c r="I15">
        <v>10014</v>
      </c>
      <c r="J15" t="s">
        <v>9</v>
      </c>
      <c r="K15">
        <v>101</v>
      </c>
      <c r="L15">
        <v>107</v>
      </c>
      <c r="M15">
        <v>10014</v>
      </c>
      <c r="N15">
        <v>10015</v>
      </c>
      <c r="O15">
        <v>0</v>
      </c>
      <c r="P15" t="s">
        <v>60</v>
      </c>
    </row>
    <row r="16" spans="1:19">
      <c r="A16" t="s">
        <v>22</v>
      </c>
      <c r="B16">
        <v>10015</v>
      </c>
      <c r="C16">
        <v>54.325326973434208</v>
      </c>
      <c r="D16">
        <v>1.9389163894704948</v>
      </c>
      <c r="E16">
        <v>0</v>
      </c>
      <c r="F16" t="s">
        <v>60</v>
      </c>
      <c r="G16">
        <v>-0.73227587203938715</v>
      </c>
      <c r="I16">
        <v>10015</v>
      </c>
      <c r="J16" t="s">
        <v>9</v>
      </c>
      <c r="K16">
        <v>101</v>
      </c>
      <c r="L16">
        <v>108</v>
      </c>
      <c r="M16">
        <v>10015</v>
      </c>
      <c r="N16">
        <v>10016</v>
      </c>
      <c r="O16">
        <v>0</v>
      </c>
      <c r="P16" t="s">
        <v>60</v>
      </c>
    </row>
    <row r="17" spans="1:16">
      <c r="A17" t="s">
        <v>22</v>
      </c>
      <c r="B17">
        <v>10016</v>
      </c>
      <c r="C17">
        <v>60.350158991521646</v>
      </c>
      <c r="D17">
        <v>1.8250652128834253</v>
      </c>
      <c r="E17">
        <v>0</v>
      </c>
      <c r="F17" t="s">
        <v>60</v>
      </c>
      <c r="G17">
        <v>-1.4756886112216279</v>
      </c>
      <c r="I17">
        <v>10016</v>
      </c>
      <c r="J17" t="s">
        <v>9</v>
      </c>
      <c r="K17">
        <v>101</v>
      </c>
      <c r="L17">
        <v>109</v>
      </c>
      <c r="M17">
        <v>10016</v>
      </c>
      <c r="N17">
        <v>10017</v>
      </c>
      <c r="O17">
        <v>0</v>
      </c>
      <c r="P17" t="s">
        <v>60</v>
      </c>
    </row>
    <row r="18" spans="1:16">
      <c r="A18" t="s">
        <v>22</v>
      </c>
      <c r="B18">
        <v>10017</v>
      </c>
      <c r="C18">
        <v>64.370484983240758</v>
      </c>
      <c r="D18">
        <v>1.6997316483656064</v>
      </c>
      <c r="E18">
        <v>0</v>
      </c>
      <c r="F18" t="s">
        <v>60</v>
      </c>
      <c r="G18">
        <v>-2.1145365527924955</v>
      </c>
      <c r="I18">
        <v>10017</v>
      </c>
      <c r="J18" t="s">
        <v>9</v>
      </c>
      <c r="K18">
        <v>101</v>
      </c>
      <c r="L18">
        <v>102</v>
      </c>
      <c r="M18">
        <v>10017</v>
      </c>
      <c r="N18">
        <v>10018</v>
      </c>
      <c r="O18">
        <v>0</v>
      </c>
      <c r="P18" t="s">
        <v>60</v>
      </c>
    </row>
    <row r="19" spans="1:16">
      <c r="A19" t="s">
        <v>22</v>
      </c>
      <c r="B19">
        <v>10018</v>
      </c>
      <c r="C19">
        <v>66.381519574074559</v>
      </c>
      <c r="D19">
        <v>1.6191935138318325</v>
      </c>
      <c r="E19">
        <v>0</v>
      </c>
      <c r="F19" t="s">
        <v>60</v>
      </c>
      <c r="G19">
        <v>-2.4769323582127361</v>
      </c>
      <c r="I19">
        <v>10018</v>
      </c>
      <c r="J19" t="s">
        <v>9</v>
      </c>
      <c r="K19">
        <v>101</v>
      </c>
      <c r="L19">
        <v>102</v>
      </c>
      <c r="M19">
        <v>10018</v>
      </c>
      <c r="N19">
        <v>10019</v>
      </c>
      <c r="O19">
        <v>0</v>
      </c>
      <c r="P19" t="s">
        <v>60</v>
      </c>
    </row>
    <row r="20" spans="1:16">
      <c r="A20" t="s">
        <v>22</v>
      </c>
      <c r="B20">
        <v>10019</v>
      </c>
      <c r="C20">
        <v>72.416588330955548</v>
      </c>
      <c r="D20">
        <v>1.2939156851275166</v>
      </c>
      <c r="E20">
        <v>0</v>
      </c>
      <c r="F20" t="s">
        <v>60</v>
      </c>
      <c r="G20">
        <v>-3.7360071130127248</v>
      </c>
      <c r="I20">
        <v>10019</v>
      </c>
      <c r="J20" t="s">
        <v>9</v>
      </c>
      <c r="K20">
        <v>101</v>
      </c>
      <c r="L20">
        <v>102</v>
      </c>
      <c r="M20">
        <v>10019</v>
      </c>
      <c r="N20">
        <v>10020</v>
      </c>
      <c r="O20">
        <v>0</v>
      </c>
      <c r="P20" t="s">
        <v>60</v>
      </c>
    </row>
    <row r="21" spans="1:16">
      <c r="A21" t="s">
        <v>22</v>
      </c>
      <c r="B21">
        <v>10020</v>
      </c>
      <c r="C21">
        <v>78.450924573177602</v>
      </c>
      <c r="D21">
        <v>0.82184710153032126</v>
      </c>
      <c r="E21">
        <v>0</v>
      </c>
      <c r="F21" t="s">
        <v>60</v>
      </c>
      <c r="G21">
        <v>-5.2529128756215808</v>
      </c>
      <c r="I21">
        <v>10020</v>
      </c>
      <c r="J21" t="s">
        <v>9</v>
      </c>
      <c r="K21">
        <v>101</v>
      </c>
      <c r="L21">
        <v>102</v>
      </c>
      <c r="M21">
        <v>10020</v>
      </c>
      <c r="N21">
        <v>10021</v>
      </c>
      <c r="O21">
        <v>0</v>
      </c>
      <c r="P21" t="s">
        <v>60</v>
      </c>
    </row>
    <row r="22" spans="1:16">
      <c r="A22" t="s">
        <v>22</v>
      </c>
      <c r="B22">
        <v>10021</v>
      </c>
      <c r="C22">
        <v>84.475994756503525</v>
      </c>
      <c r="D22">
        <v>0.17763173059105819</v>
      </c>
      <c r="E22">
        <v>0</v>
      </c>
      <c r="F22" t="s">
        <v>60</v>
      </c>
      <c r="G22">
        <v>-6.9614372108394988</v>
      </c>
      <c r="I22">
        <v>10021</v>
      </c>
      <c r="J22" t="s">
        <v>9</v>
      </c>
      <c r="K22">
        <v>101</v>
      </c>
      <c r="L22">
        <v>102</v>
      </c>
      <c r="M22">
        <v>10021</v>
      </c>
      <c r="N22">
        <v>10022</v>
      </c>
      <c r="O22">
        <v>0</v>
      </c>
      <c r="P22" t="s">
        <v>60</v>
      </c>
    </row>
    <row r="23" spans="1:16">
      <c r="A23" t="s">
        <v>22</v>
      </c>
      <c r="B23">
        <v>10022</v>
      </c>
      <c r="C23">
        <v>88.481047966188029</v>
      </c>
      <c r="D23">
        <v>-0.35208965043535678</v>
      </c>
      <c r="E23">
        <v>0</v>
      </c>
      <c r="F23" t="s">
        <v>60</v>
      </c>
      <c r="G23">
        <v>-8.1073528011011469</v>
      </c>
      <c r="I23">
        <v>10022</v>
      </c>
      <c r="J23" t="s">
        <v>9</v>
      </c>
      <c r="K23">
        <v>101</v>
      </c>
      <c r="L23">
        <v>102</v>
      </c>
      <c r="M23">
        <v>10022</v>
      </c>
      <c r="N23">
        <v>10023</v>
      </c>
      <c r="O23">
        <v>0</v>
      </c>
      <c r="P23" t="s">
        <v>60</v>
      </c>
    </row>
    <row r="24" spans="1:16">
      <c r="A24" t="s">
        <v>22</v>
      </c>
      <c r="B24">
        <v>10023</v>
      </c>
      <c r="C24">
        <v>92.47470647059113</v>
      </c>
      <c r="D24">
        <v>-0.96180081494652003</v>
      </c>
      <c r="E24">
        <v>0</v>
      </c>
      <c r="F24" t="s">
        <v>60</v>
      </c>
      <c r="G24">
        <v>-9.2532683913627807</v>
      </c>
      <c r="I24">
        <v>10023</v>
      </c>
      <c r="J24" t="s">
        <v>9</v>
      </c>
      <c r="K24">
        <v>101</v>
      </c>
      <c r="L24">
        <v>102</v>
      </c>
      <c r="M24">
        <v>10023</v>
      </c>
      <c r="N24">
        <v>10024</v>
      </c>
      <c r="O24">
        <v>0</v>
      </c>
      <c r="P24" t="s">
        <v>60</v>
      </c>
    </row>
    <row r="25" spans="1:16">
      <c r="A25" t="s">
        <v>22</v>
      </c>
      <c r="B25">
        <v>10024</v>
      </c>
      <c r="C25">
        <v>98.44033622361755</v>
      </c>
      <c r="D25">
        <v>-2.0258062014142624</v>
      </c>
      <c r="E25">
        <v>0</v>
      </c>
      <c r="F25" t="s">
        <v>60</v>
      </c>
      <c r="G25">
        <v>-10.972141776755253</v>
      </c>
      <c r="I25">
        <v>10024</v>
      </c>
      <c r="J25" t="s">
        <v>9</v>
      </c>
      <c r="K25">
        <v>101</v>
      </c>
      <c r="L25">
        <v>102</v>
      </c>
      <c r="M25">
        <v>10024</v>
      </c>
      <c r="N25">
        <v>10025</v>
      </c>
      <c r="O25">
        <v>0</v>
      </c>
      <c r="P25" t="s">
        <v>60</v>
      </c>
    </row>
    <row r="26" spans="1:16">
      <c r="A26" t="s">
        <v>22</v>
      </c>
      <c r="B26">
        <v>10025</v>
      </c>
      <c r="C26">
        <v>104.37136627080386</v>
      </c>
      <c r="D26">
        <v>-3.2682748698321245</v>
      </c>
      <c r="E26">
        <v>0</v>
      </c>
      <c r="F26" t="s">
        <v>60</v>
      </c>
      <c r="G26">
        <v>-12.691015162147723</v>
      </c>
      <c r="I26">
        <v>10025</v>
      </c>
      <c r="J26" t="s">
        <v>9</v>
      </c>
      <c r="K26">
        <v>101</v>
      </c>
      <c r="L26">
        <v>102</v>
      </c>
      <c r="M26">
        <v>10025</v>
      </c>
      <c r="N26">
        <v>10026</v>
      </c>
      <c r="O26">
        <v>0</v>
      </c>
      <c r="P26" t="s">
        <v>60</v>
      </c>
    </row>
    <row r="27" spans="1:16">
      <c r="A27" t="s">
        <v>22</v>
      </c>
      <c r="B27">
        <v>10026</v>
      </c>
      <c r="C27">
        <v>110.26245908544007</v>
      </c>
      <c r="D27">
        <v>-4.6880886822626326</v>
      </c>
      <c r="E27">
        <v>0</v>
      </c>
      <c r="F27" t="s">
        <v>60</v>
      </c>
      <c r="G27">
        <v>-14.409888547540195</v>
      </c>
      <c r="I27">
        <v>10026</v>
      </c>
      <c r="J27" t="s">
        <v>9</v>
      </c>
      <c r="K27">
        <v>101</v>
      </c>
      <c r="L27">
        <v>102</v>
      </c>
      <c r="M27">
        <v>10026</v>
      </c>
      <c r="N27">
        <v>10027</v>
      </c>
      <c r="O27">
        <v>0</v>
      </c>
      <c r="P27" t="s">
        <v>60</v>
      </c>
    </row>
    <row r="28" spans="1:16">
      <c r="A28" t="s">
        <v>22</v>
      </c>
      <c r="B28">
        <v>10027</v>
      </c>
      <c r="C28">
        <v>112.21636429911955</v>
      </c>
      <c r="D28">
        <v>-5.2005537178857209</v>
      </c>
      <c r="E28">
        <v>0</v>
      </c>
      <c r="F28" t="s">
        <v>60</v>
      </c>
      <c r="G28">
        <v>-14.982846342671019</v>
      </c>
      <c r="I28">
        <v>10027</v>
      </c>
      <c r="J28" t="s">
        <v>9</v>
      </c>
      <c r="K28">
        <v>101</v>
      </c>
      <c r="L28">
        <v>103</v>
      </c>
      <c r="M28">
        <v>10027</v>
      </c>
      <c r="N28">
        <v>10028</v>
      </c>
      <c r="O28">
        <v>0</v>
      </c>
      <c r="P28" t="s">
        <v>60</v>
      </c>
    </row>
    <row r="29" spans="1:16">
      <c r="A29" t="s">
        <v>22</v>
      </c>
      <c r="B29">
        <v>10028</v>
      </c>
      <c r="C29">
        <v>116.10831308162984</v>
      </c>
      <c r="D29">
        <v>-6.2839699021091775</v>
      </c>
      <c r="E29">
        <v>0</v>
      </c>
      <c r="F29" t="s">
        <v>60</v>
      </c>
      <c r="G29">
        <v>-16.128761932932665</v>
      </c>
      <c r="I29">
        <v>10028</v>
      </c>
      <c r="J29" t="s">
        <v>9</v>
      </c>
      <c r="K29">
        <v>101</v>
      </c>
      <c r="L29">
        <v>104</v>
      </c>
      <c r="M29">
        <v>10028</v>
      </c>
      <c r="N29">
        <v>10029</v>
      </c>
      <c r="O29">
        <v>0</v>
      </c>
      <c r="P29" t="s">
        <v>60</v>
      </c>
    </row>
    <row r="30" spans="1:16">
      <c r="A30" t="s">
        <v>22</v>
      </c>
      <c r="B30">
        <v>10029</v>
      </c>
      <c r="C30">
        <v>121.90311489446132</v>
      </c>
      <c r="D30">
        <v>-8.0540382737829557</v>
      </c>
      <c r="E30">
        <v>0</v>
      </c>
      <c r="F30" t="s">
        <v>60</v>
      </c>
      <c r="G30">
        <v>-17.828691901223618</v>
      </c>
      <c r="I30">
        <v>10029</v>
      </c>
      <c r="J30" t="s">
        <v>9</v>
      </c>
      <c r="K30">
        <v>101</v>
      </c>
      <c r="L30">
        <v>105</v>
      </c>
      <c r="M30">
        <v>10029</v>
      </c>
      <c r="N30">
        <v>10030</v>
      </c>
      <c r="O30">
        <v>0</v>
      </c>
      <c r="P30" t="s">
        <v>60</v>
      </c>
    </row>
    <row r="31" spans="1:16">
      <c r="A31" t="s">
        <v>22</v>
      </c>
      <c r="B31">
        <v>10030</v>
      </c>
      <c r="C31">
        <v>125.73356375701873</v>
      </c>
      <c r="D31">
        <v>-9.324511990639893</v>
      </c>
      <c r="E31">
        <v>0</v>
      </c>
      <c r="F31" t="s">
        <v>62</v>
      </c>
      <c r="G31">
        <v>-18.851421565532132</v>
      </c>
      <c r="I31">
        <v>10030</v>
      </c>
      <c r="J31" t="s">
        <v>9</v>
      </c>
      <c r="K31">
        <v>101</v>
      </c>
      <c r="L31">
        <v>106</v>
      </c>
      <c r="M31">
        <v>10030</v>
      </c>
      <c r="N31">
        <v>10031</v>
      </c>
      <c r="O31">
        <v>0</v>
      </c>
      <c r="P31" t="s">
        <v>62</v>
      </c>
    </row>
    <row r="32" spans="1:16">
      <c r="A32" t="s">
        <v>22</v>
      </c>
      <c r="B32">
        <v>10031</v>
      </c>
      <c r="C32">
        <v>127.63904449384265</v>
      </c>
      <c r="D32">
        <v>-9.9838964309293683</v>
      </c>
      <c r="E32">
        <v>0</v>
      </c>
      <c r="F32" t="s">
        <v>62</v>
      </c>
      <c r="G32">
        <v>-19.319814563051583</v>
      </c>
      <c r="I32">
        <v>10031</v>
      </c>
      <c r="J32" t="s">
        <v>9</v>
      </c>
      <c r="K32">
        <v>101</v>
      </c>
      <c r="L32">
        <v>106</v>
      </c>
      <c r="M32">
        <v>10031</v>
      </c>
      <c r="N32">
        <v>10032</v>
      </c>
      <c r="O32">
        <v>0</v>
      </c>
      <c r="P32" t="s">
        <v>62</v>
      </c>
    </row>
    <row r="33" spans="1:16">
      <c r="A33" t="s">
        <v>22</v>
      </c>
      <c r="B33">
        <v>10032</v>
      </c>
      <c r="C33">
        <v>129.53829804626679</v>
      </c>
      <c r="D33">
        <v>-10.658026705375683</v>
      </c>
      <c r="E33">
        <v>0</v>
      </c>
      <c r="F33" t="s">
        <v>64</v>
      </c>
      <c r="G33">
        <v>-19.759559670814493</v>
      </c>
      <c r="I33">
        <v>10032</v>
      </c>
      <c r="J33" t="s">
        <v>9</v>
      </c>
      <c r="K33">
        <v>101</v>
      </c>
      <c r="L33">
        <v>107</v>
      </c>
      <c r="M33">
        <v>10032</v>
      </c>
      <c r="N33">
        <v>10033</v>
      </c>
      <c r="O33">
        <v>0</v>
      </c>
      <c r="P33" t="s">
        <v>64</v>
      </c>
    </row>
    <row r="34" spans="1:16">
      <c r="A34" t="s">
        <v>22</v>
      </c>
      <c r="B34">
        <v>10033</v>
      </c>
      <c r="C34">
        <v>133.31906523606762</v>
      </c>
      <c r="D34">
        <v>-12.046517734400567</v>
      </c>
      <c r="E34">
        <v>0</v>
      </c>
      <c r="F34" t="s">
        <v>64</v>
      </c>
      <c r="G34">
        <v>-20.553106217070681</v>
      </c>
      <c r="I34">
        <v>10033</v>
      </c>
      <c r="J34" t="s">
        <v>9</v>
      </c>
      <c r="K34">
        <v>101</v>
      </c>
      <c r="L34">
        <v>108</v>
      </c>
      <c r="M34">
        <v>10033</v>
      </c>
      <c r="N34">
        <v>10034</v>
      </c>
      <c r="O34">
        <v>0</v>
      </c>
      <c r="P34" t="s">
        <v>64</v>
      </c>
    </row>
    <row r="35" spans="1:16">
      <c r="A35" t="s">
        <v>22</v>
      </c>
      <c r="B35">
        <v>10034</v>
      </c>
      <c r="C35">
        <v>138.94991725264191</v>
      </c>
      <c r="D35">
        <v>-14.215015943346392</v>
      </c>
      <c r="E35">
        <v>0</v>
      </c>
      <c r="F35" t="s">
        <v>64</v>
      </c>
      <c r="G35">
        <v>-21.528566863280911</v>
      </c>
      <c r="I35">
        <v>10034</v>
      </c>
      <c r="J35" t="s">
        <v>9</v>
      </c>
      <c r="K35">
        <v>101</v>
      </c>
      <c r="L35">
        <v>109</v>
      </c>
      <c r="M35">
        <v>10034</v>
      </c>
      <c r="N35">
        <v>10035</v>
      </c>
      <c r="O35">
        <v>0</v>
      </c>
      <c r="P35" t="s">
        <v>64</v>
      </c>
    </row>
    <row r="36" spans="1:16">
      <c r="A36" t="s">
        <v>22</v>
      </c>
      <c r="B36">
        <v>10035</v>
      </c>
      <c r="C36">
        <v>142.68050107291171</v>
      </c>
      <c r="D36">
        <v>-15.706509222821015</v>
      </c>
      <c r="E36">
        <v>0</v>
      </c>
      <c r="F36" t="s">
        <v>64</v>
      </c>
      <c r="G36">
        <v>-22.03563451197169</v>
      </c>
      <c r="I36">
        <v>10035</v>
      </c>
      <c r="J36" t="s">
        <v>9</v>
      </c>
      <c r="K36">
        <v>101</v>
      </c>
      <c r="L36">
        <v>102</v>
      </c>
      <c r="M36">
        <v>10035</v>
      </c>
      <c r="N36">
        <v>10036</v>
      </c>
      <c r="O36">
        <v>0</v>
      </c>
      <c r="P36" t="s">
        <v>64</v>
      </c>
    </row>
    <row r="37" spans="1:16">
      <c r="A37" t="s">
        <v>22</v>
      </c>
      <c r="B37">
        <v>10036</v>
      </c>
      <c r="C37">
        <v>144.53979608459576</v>
      </c>
      <c r="D37">
        <v>-16.463127716901539</v>
      </c>
      <c r="E37">
        <v>0</v>
      </c>
      <c r="F37" t="s">
        <v>64</v>
      </c>
      <c r="G37">
        <v>-22.24619650168226</v>
      </c>
      <c r="I37">
        <v>10036</v>
      </c>
      <c r="J37" t="s">
        <v>9</v>
      </c>
      <c r="K37">
        <v>101</v>
      </c>
      <c r="L37">
        <v>102</v>
      </c>
      <c r="M37">
        <v>10036</v>
      </c>
      <c r="N37">
        <v>10037</v>
      </c>
      <c r="O37">
        <v>0</v>
      </c>
      <c r="P37" t="s">
        <v>64</v>
      </c>
    </row>
    <row r="38" spans="1:16">
      <c r="A38" t="s">
        <v>22</v>
      </c>
      <c r="B38">
        <v>10037</v>
      </c>
      <c r="C38">
        <v>150.09798601974273</v>
      </c>
      <c r="D38">
        <v>-18.765124020572937</v>
      </c>
      <c r="E38">
        <v>0</v>
      </c>
      <c r="F38" t="s">
        <v>64</v>
      </c>
      <c r="G38">
        <v>-22.705995132274754</v>
      </c>
      <c r="I38">
        <v>10037</v>
      </c>
      <c r="J38" t="s">
        <v>9</v>
      </c>
      <c r="K38">
        <v>101</v>
      </c>
      <c r="L38">
        <v>102</v>
      </c>
      <c r="M38">
        <v>10037</v>
      </c>
      <c r="N38">
        <v>10038</v>
      </c>
      <c r="O38">
        <v>0</v>
      </c>
      <c r="P38" t="s">
        <v>64</v>
      </c>
    </row>
    <row r="39" spans="1:16">
      <c r="A39" t="s">
        <v>22</v>
      </c>
      <c r="B39">
        <v>10038</v>
      </c>
      <c r="C39">
        <v>155.63450498538131</v>
      </c>
      <c r="D39">
        <v>-21.095696710165821</v>
      </c>
      <c r="E39">
        <v>0</v>
      </c>
      <c r="F39" t="s">
        <v>64</v>
      </c>
      <c r="G39">
        <v>-22.907962755058357</v>
      </c>
      <c r="I39">
        <v>10038</v>
      </c>
      <c r="J39" t="s">
        <v>9</v>
      </c>
      <c r="K39">
        <v>101</v>
      </c>
      <c r="L39">
        <v>102</v>
      </c>
      <c r="M39">
        <v>10038</v>
      </c>
      <c r="N39">
        <v>10039</v>
      </c>
      <c r="O39">
        <v>0</v>
      </c>
      <c r="P39" t="s">
        <v>64</v>
      </c>
    </row>
    <row r="40" spans="1:16">
      <c r="A40" t="s">
        <v>22</v>
      </c>
      <c r="B40">
        <v>10039</v>
      </c>
      <c r="C40">
        <v>161.16124354886711</v>
      </c>
      <c r="D40">
        <v>-23.432253134753026</v>
      </c>
      <c r="E40">
        <v>0</v>
      </c>
      <c r="F40" t="s">
        <v>64</v>
      </c>
      <c r="G40">
        <v>-22.918311805232911</v>
      </c>
      <c r="I40">
        <v>10039</v>
      </c>
      <c r="J40" t="s">
        <v>9</v>
      </c>
      <c r="K40">
        <v>101</v>
      </c>
      <c r="L40">
        <v>102</v>
      </c>
      <c r="M40">
        <v>10039</v>
      </c>
      <c r="N40">
        <v>10040</v>
      </c>
      <c r="O40">
        <v>0</v>
      </c>
      <c r="P40" t="s">
        <v>64</v>
      </c>
    </row>
    <row r="41" spans="1:16">
      <c r="A41" t="s">
        <v>22</v>
      </c>
      <c r="B41">
        <v>10040</v>
      </c>
      <c r="C41">
        <v>166.68760951288442</v>
      </c>
      <c r="D41">
        <v>-25.768763188604929</v>
      </c>
      <c r="E41">
        <v>0</v>
      </c>
      <c r="F41" t="s">
        <v>64</v>
      </c>
      <c r="G41">
        <v>-22.918311805232911</v>
      </c>
      <c r="I41">
        <v>10040</v>
      </c>
      <c r="J41" t="s">
        <v>9</v>
      </c>
      <c r="K41">
        <v>101</v>
      </c>
      <c r="L41">
        <v>102</v>
      </c>
      <c r="M41">
        <v>10040</v>
      </c>
      <c r="N41">
        <v>10041</v>
      </c>
      <c r="O41">
        <v>0</v>
      </c>
      <c r="P41" t="s">
        <v>64</v>
      </c>
    </row>
    <row r="42" spans="1:16">
      <c r="A42" t="s">
        <v>22</v>
      </c>
      <c r="B42">
        <v>10041</v>
      </c>
      <c r="C42">
        <v>170.83238398589742</v>
      </c>
      <c r="D42">
        <v>-27.521145728993854</v>
      </c>
      <c r="E42">
        <v>0</v>
      </c>
      <c r="F42" t="s">
        <v>64</v>
      </c>
      <c r="G42">
        <v>-22.918311805232911</v>
      </c>
      <c r="I42">
        <v>10041</v>
      </c>
      <c r="J42" t="s">
        <v>9</v>
      </c>
      <c r="K42">
        <v>101</v>
      </c>
      <c r="L42">
        <v>101</v>
      </c>
      <c r="M42">
        <v>10041</v>
      </c>
      <c r="N42">
        <v>10042</v>
      </c>
      <c r="O42">
        <v>0</v>
      </c>
      <c r="P42" t="s">
        <v>64</v>
      </c>
    </row>
    <row r="43" spans="1:16">
      <c r="A43" t="s">
        <v>22</v>
      </c>
      <c r="B43">
        <v>10042</v>
      </c>
      <c r="C43">
        <v>171.84555107930058</v>
      </c>
      <c r="D43">
        <v>-27.949505905533368</v>
      </c>
      <c r="E43">
        <v>0</v>
      </c>
      <c r="F43" t="s">
        <v>64</v>
      </c>
      <c r="G43">
        <v>-22.918311805232911</v>
      </c>
      <c r="I43">
        <v>10042</v>
      </c>
      <c r="J43" t="s">
        <v>9</v>
      </c>
      <c r="K43">
        <v>101</v>
      </c>
      <c r="L43">
        <v>101</v>
      </c>
      <c r="M43">
        <v>10042</v>
      </c>
      <c r="N43">
        <v>10043</v>
      </c>
      <c r="O43">
        <v>0</v>
      </c>
      <c r="P43" t="s">
        <v>64</v>
      </c>
    </row>
    <row r="44" spans="1:16">
      <c r="A44" t="s">
        <v>22</v>
      </c>
      <c r="B44">
        <v>10043</v>
      </c>
      <c r="C44">
        <v>172.4902937751026</v>
      </c>
      <c r="D44">
        <v>-28.222098745149417</v>
      </c>
      <c r="E44">
        <v>0</v>
      </c>
      <c r="F44" t="s">
        <v>64</v>
      </c>
      <c r="G44">
        <v>-22.918311805232911</v>
      </c>
    </row>
    <row r="45" spans="1:16">
      <c r="A45" t="s">
        <v>79</v>
      </c>
      <c r="B45">
        <v>20001</v>
      </c>
      <c r="C45">
        <v>0</v>
      </c>
      <c r="D45">
        <v>-2</v>
      </c>
      <c r="E45">
        <v>0</v>
      </c>
      <c r="F45" t="s">
        <v>58</v>
      </c>
      <c r="G45">
        <v>0</v>
      </c>
      <c r="I45">
        <v>20001</v>
      </c>
      <c r="J45" t="s">
        <v>9</v>
      </c>
      <c r="K45">
        <v>101</v>
      </c>
      <c r="L45">
        <v>101</v>
      </c>
      <c r="M45">
        <v>20001</v>
      </c>
      <c r="N45">
        <v>20002</v>
      </c>
      <c r="O45">
        <v>0</v>
      </c>
      <c r="P45" t="s">
        <v>58</v>
      </c>
    </row>
    <row r="46" spans="1:16">
      <c r="A46" t="s">
        <v>79</v>
      </c>
      <c r="B46">
        <v>20002</v>
      </c>
      <c r="C46">
        <v>0.7</v>
      </c>
      <c r="D46">
        <v>-2</v>
      </c>
      <c r="E46">
        <v>0</v>
      </c>
      <c r="F46" t="s">
        <v>58</v>
      </c>
      <c r="G46">
        <v>0</v>
      </c>
      <c r="I46">
        <v>20002</v>
      </c>
      <c r="J46" t="s">
        <v>9</v>
      </c>
      <c r="K46">
        <v>101</v>
      </c>
      <c r="L46">
        <v>101</v>
      </c>
      <c r="M46">
        <v>20002</v>
      </c>
      <c r="N46">
        <v>20003</v>
      </c>
      <c r="O46">
        <v>0</v>
      </c>
      <c r="P46" t="s">
        <v>58</v>
      </c>
    </row>
    <row r="47" spans="1:16">
      <c r="A47" t="s">
        <v>79</v>
      </c>
      <c r="B47">
        <v>20003</v>
      </c>
      <c r="C47">
        <v>1.8</v>
      </c>
      <c r="D47">
        <v>-2</v>
      </c>
      <c r="E47">
        <v>0</v>
      </c>
      <c r="F47" t="s">
        <v>58</v>
      </c>
      <c r="G47">
        <v>0</v>
      </c>
      <c r="I47">
        <v>20003</v>
      </c>
      <c r="J47" t="s">
        <v>9</v>
      </c>
      <c r="K47">
        <v>101</v>
      </c>
      <c r="L47">
        <v>102</v>
      </c>
      <c r="M47">
        <v>20003</v>
      </c>
      <c r="N47">
        <v>20004</v>
      </c>
      <c r="O47">
        <v>0</v>
      </c>
      <c r="P47" t="s">
        <v>58</v>
      </c>
    </row>
    <row r="48" spans="1:16">
      <c r="A48" t="s">
        <v>79</v>
      </c>
      <c r="B48">
        <v>20004</v>
      </c>
      <c r="C48">
        <v>6.3</v>
      </c>
      <c r="D48">
        <v>-1.9999999999999996</v>
      </c>
      <c r="E48">
        <v>0</v>
      </c>
      <c r="F48" t="s">
        <v>58</v>
      </c>
      <c r="G48">
        <v>0</v>
      </c>
      <c r="I48">
        <v>20004</v>
      </c>
      <c r="J48" t="s">
        <v>9</v>
      </c>
      <c r="K48">
        <v>101</v>
      </c>
      <c r="L48">
        <v>102</v>
      </c>
      <c r="M48">
        <v>20004</v>
      </c>
      <c r="N48">
        <v>20005</v>
      </c>
      <c r="O48">
        <v>0</v>
      </c>
      <c r="P48" t="s">
        <v>58</v>
      </c>
    </row>
    <row r="49" spans="1:16">
      <c r="A49" t="s">
        <v>79</v>
      </c>
      <c r="B49">
        <v>20005</v>
      </c>
      <c r="C49">
        <v>12.3</v>
      </c>
      <c r="D49">
        <v>-1.9999999999999993</v>
      </c>
      <c r="E49">
        <v>0</v>
      </c>
      <c r="F49" t="s">
        <v>58</v>
      </c>
      <c r="G49">
        <v>0</v>
      </c>
      <c r="I49">
        <v>20005</v>
      </c>
      <c r="J49" t="s">
        <v>9</v>
      </c>
      <c r="K49">
        <v>101</v>
      </c>
      <c r="L49">
        <v>102</v>
      </c>
      <c r="M49">
        <v>20005</v>
      </c>
      <c r="N49">
        <v>20006</v>
      </c>
      <c r="O49">
        <v>0</v>
      </c>
      <c r="P49" t="s">
        <v>58</v>
      </c>
    </row>
    <row r="50" spans="1:16">
      <c r="A50" t="s">
        <v>79</v>
      </c>
      <c r="B50">
        <v>20006</v>
      </c>
      <c r="C50">
        <v>18.3</v>
      </c>
      <c r="D50">
        <v>-1.9999999999999989</v>
      </c>
      <c r="E50">
        <v>0</v>
      </c>
      <c r="F50" t="s">
        <v>58</v>
      </c>
      <c r="G50">
        <v>0</v>
      </c>
      <c r="I50">
        <v>20006</v>
      </c>
      <c r="J50" t="s">
        <v>9</v>
      </c>
      <c r="K50">
        <v>101</v>
      </c>
      <c r="L50">
        <v>102</v>
      </c>
      <c r="M50">
        <v>20006</v>
      </c>
      <c r="N50">
        <v>20007</v>
      </c>
      <c r="O50">
        <v>0</v>
      </c>
      <c r="P50" t="s">
        <v>58</v>
      </c>
    </row>
    <row r="51" spans="1:16">
      <c r="A51" t="s">
        <v>79</v>
      </c>
      <c r="B51">
        <v>20007</v>
      </c>
      <c r="C51">
        <v>24.3</v>
      </c>
      <c r="D51">
        <v>-1.9999999999999984</v>
      </c>
      <c r="E51">
        <v>0</v>
      </c>
      <c r="F51" t="s">
        <v>58</v>
      </c>
      <c r="G51">
        <v>0</v>
      </c>
      <c r="I51">
        <v>20007</v>
      </c>
      <c r="J51" t="s">
        <v>9</v>
      </c>
      <c r="K51">
        <v>101</v>
      </c>
      <c r="L51">
        <v>102</v>
      </c>
      <c r="M51">
        <v>20007</v>
      </c>
      <c r="N51">
        <v>20008</v>
      </c>
      <c r="O51">
        <v>0</v>
      </c>
      <c r="P51" t="s">
        <v>58</v>
      </c>
    </row>
    <row r="52" spans="1:16">
      <c r="A52" t="s">
        <v>79</v>
      </c>
      <c r="B52">
        <v>20008</v>
      </c>
      <c r="C52">
        <v>30.3</v>
      </c>
      <c r="D52">
        <v>-1.9999999999999982</v>
      </c>
      <c r="E52">
        <v>0</v>
      </c>
      <c r="F52" t="s">
        <v>58</v>
      </c>
      <c r="G52">
        <v>0</v>
      </c>
      <c r="I52">
        <v>20008</v>
      </c>
      <c r="J52" t="s">
        <v>9</v>
      </c>
      <c r="K52">
        <v>101</v>
      </c>
      <c r="L52">
        <v>102</v>
      </c>
      <c r="M52">
        <v>20008</v>
      </c>
      <c r="N52">
        <v>20009</v>
      </c>
      <c r="O52">
        <v>0</v>
      </c>
      <c r="P52" t="s">
        <v>58</v>
      </c>
    </row>
    <row r="53" spans="1:16">
      <c r="A53" t="s">
        <v>79</v>
      </c>
      <c r="B53">
        <v>20009</v>
      </c>
      <c r="C53">
        <v>32.299999999999997</v>
      </c>
      <c r="D53">
        <v>-1.999999999999998</v>
      </c>
      <c r="E53">
        <v>0</v>
      </c>
      <c r="F53" t="s">
        <v>58</v>
      </c>
      <c r="G53">
        <v>0</v>
      </c>
      <c r="I53">
        <v>20009</v>
      </c>
      <c r="J53" t="s">
        <v>9</v>
      </c>
      <c r="K53">
        <v>101</v>
      </c>
      <c r="L53">
        <v>103</v>
      </c>
      <c r="M53">
        <v>20009</v>
      </c>
      <c r="N53">
        <v>20010</v>
      </c>
      <c r="O53">
        <v>0</v>
      </c>
      <c r="P53" t="s">
        <v>58</v>
      </c>
    </row>
    <row r="54" spans="1:16">
      <c r="A54" t="s">
        <v>79</v>
      </c>
      <c r="B54">
        <v>20010</v>
      </c>
      <c r="C54">
        <v>36.299999999999997</v>
      </c>
      <c r="D54">
        <v>-1.9999999999999978</v>
      </c>
      <c r="E54">
        <v>0</v>
      </c>
      <c r="F54" t="s">
        <v>58</v>
      </c>
      <c r="G54">
        <v>0</v>
      </c>
      <c r="I54">
        <v>20010</v>
      </c>
      <c r="J54" t="s">
        <v>9</v>
      </c>
      <c r="K54">
        <v>101</v>
      </c>
      <c r="L54">
        <v>104</v>
      </c>
      <c r="M54">
        <v>20010</v>
      </c>
      <c r="N54">
        <v>20011</v>
      </c>
      <c r="O54">
        <v>0</v>
      </c>
      <c r="P54" t="s">
        <v>58</v>
      </c>
    </row>
    <row r="55" spans="1:16">
      <c r="A55" t="s">
        <v>79</v>
      </c>
      <c r="B55">
        <v>20011</v>
      </c>
      <c r="C55">
        <v>42.299338724870083</v>
      </c>
      <c r="D55">
        <v>-2.0002533698517952</v>
      </c>
      <c r="E55">
        <v>0</v>
      </c>
      <c r="F55" t="s">
        <v>58</v>
      </c>
      <c r="G55">
        <v>-1.8943417101508132E-2</v>
      </c>
      <c r="I55">
        <v>20011</v>
      </c>
      <c r="J55" t="s">
        <v>9</v>
      </c>
      <c r="K55">
        <v>101</v>
      </c>
      <c r="L55">
        <v>105</v>
      </c>
      <c r="M55">
        <v>20011</v>
      </c>
      <c r="N55">
        <v>20012</v>
      </c>
      <c r="O55">
        <v>0</v>
      </c>
      <c r="P55" t="s">
        <v>58</v>
      </c>
    </row>
    <row r="56" spans="1:16">
      <c r="A56" t="s">
        <v>79</v>
      </c>
      <c r="B56">
        <v>20012</v>
      </c>
      <c r="C56">
        <v>46.29503487838403</v>
      </c>
      <c r="D56">
        <v>-2.0052031567130828</v>
      </c>
      <c r="E56">
        <v>0</v>
      </c>
      <c r="F56" t="s">
        <v>56</v>
      </c>
      <c r="G56">
        <v>-0.14212934305464064</v>
      </c>
      <c r="I56">
        <v>20012</v>
      </c>
      <c r="J56" t="s">
        <v>9</v>
      </c>
      <c r="K56">
        <v>101</v>
      </c>
      <c r="L56">
        <v>106</v>
      </c>
      <c r="M56">
        <v>20012</v>
      </c>
      <c r="N56">
        <v>20013</v>
      </c>
      <c r="O56">
        <v>0</v>
      </c>
      <c r="P56" t="s">
        <v>56</v>
      </c>
    </row>
    <row r="57" spans="1:16">
      <c r="A57" t="s">
        <v>79</v>
      </c>
      <c r="B57">
        <v>20013</v>
      </c>
      <c r="C57">
        <v>48.291373389742141</v>
      </c>
      <c r="D57">
        <v>-2.0118936750148309</v>
      </c>
      <c r="E57">
        <v>0</v>
      </c>
      <c r="F57" t="s">
        <v>56</v>
      </c>
      <c r="G57">
        <v>-0.24669414066601392</v>
      </c>
      <c r="I57">
        <v>20013</v>
      </c>
      <c r="J57" t="s">
        <v>9</v>
      </c>
      <c r="K57">
        <v>101</v>
      </c>
      <c r="L57">
        <v>106</v>
      </c>
      <c r="M57">
        <v>20013</v>
      </c>
      <c r="N57">
        <v>20014</v>
      </c>
      <c r="O57">
        <v>0</v>
      </c>
      <c r="P57" t="s">
        <v>56</v>
      </c>
    </row>
    <row r="58" spans="1:16">
      <c r="A58" t="s">
        <v>79</v>
      </c>
      <c r="B58">
        <v>20014</v>
      </c>
      <c r="C58">
        <v>50.286693563120657</v>
      </c>
      <c r="D58">
        <v>-2.0227211093156234</v>
      </c>
      <c r="E58">
        <v>0</v>
      </c>
      <c r="F58" t="s">
        <v>60</v>
      </c>
      <c r="G58">
        <v>-0.37990682803392517</v>
      </c>
      <c r="I58">
        <v>20014</v>
      </c>
      <c r="J58" t="s">
        <v>9</v>
      </c>
      <c r="K58">
        <v>101</v>
      </c>
      <c r="L58">
        <v>107</v>
      </c>
      <c r="M58">
        <v>20014</v>
      </c>
      <c r="N58">
        <v>20015</v>
      </c>
      <c r="O58">
        <v>0</v>
      </c>
      <c r="P58" t="s">
        <v>60</v>
      </c>
    </row>
    <row r="59" spans="1:16">
      <c r="A59" t="s">
        <v>79</v>
      </c>
      <c r="B59">
        <v>20015</v>
      </c>
      <c r="C59">
        <v>54.274205865184975</v>
      </c>
      <c r="D59">
        <v>-2.0607569262255971</v>
      </c>
      <c r="E59">
        <v>0</v>
      </c>
      <c r="F59" t="s">
        <v>60</v>
      </c>
      <c r="G59">
        <v>-0.73227587203938715</v>
      </c>
      <c r="I59">
        <v>20015</v>
      </c>
      <c r="J59" t="s">
        <v>9</v>
      </c>
      <c r="K59">
        <v>101</v>
      </c>
      <c r="L59">
        <v>108</v>
      </c>
      <c r="M59">
        <v>20015</v>
      </c>
      <c r="N59">
        <v>20016</v>
      </c>
      <c r="O59">
        <v>0</v>
      </c>
      <c r="P59" t="s">
        <v>60</v>
      </c>
    </row>
    <row r="60" spans="1:16">
      <c r="A60" t="s">
        <v>79</v>
      </c>
      <c r="B60">
        <v>20016</v>
      </c>
      <c r="C60">
        <v>60.247147881177874</v>
      </c>
      <c r="D60">
        <v>-2.1736081560160332</v>
      </c>
      <c r="E60">
        <v>0</v>
      </c>
      <c r="F60" t="s">
        <v>60</v>
      </c>
      <c r="G60">
        <v>-1.4756886112216279</v>
      </c>
      <c r="I60">
        <v>20016</v>
      </c>
      <c r="J60" t="s">
        <v>9</v>
      </c>
      <c r="K60">
        <v>101</v>
      </c>
      <c r="L60">
        <v>109</v>
      </c>
      <c r="M60">
        <v>20016</v>
      </c>
      <c r="N60">
        <v>20017</v>
      </c>
      <c r="O60">
        <v>0</v>
      </c>
      <c r="P60" t="s">
        <v>60</v>
      </c>
    </row>
    <row r="61" spans="1:16">
      <c r="A61" t="s">
        <v>79</v>
      </c>
      <c r="B61">
        <v>20017</v>
      </c>
      <c r="C61">
        <v>64.222895991885153</v>
      </c>
      <c r="D61">
        <v>-2.2975446104924968</v>
      </c>
      <c r="E61">
        <v>0</v>
      </c>
      <c r="F61" t="s">
        <v>60</v>
      </c>
      <c r="G61">
        <v>-2.1145365527924955</v>
      </c>
      <c r="I61">
        <v>20017</v>
      </c>
      <c r="J61" t="s">
        <v>9</v>
      </c>
      <c r="K61">
        <v>101</v>
      </c>
      <c r="L61">
        <v>102</v>
      </c>
      <c r="M61">
        <v>20017</v>
      </c>
      <c r="N61">
        <v>20018</v>
      </c>
      <c r="O61">
        <v>0</v>
      </c>
      <c r="P61" t="s">
        <v>60</v>
      </c>
    </row>
    <row r="62" spans="1:16">
      <c r="A62" t="s">
        <v>79</v>
      </c>
      <c r="B62">
        <v>20018</v>
      </c>
      <c r="C62">
        <v>66.208650931141932</v>
      </c>
      <c r="D62">
        <v>-2.3770692943791882</v>
      </c>
      <c r="E62">
        <v>0</v>
      </c>
      <c r="F62" t="s">
        <v>60</v>
      </c>
      <c r="G62">
        <v>-2.4769323582127361</v>
      </c>
      <c r="I62">
        <v>20018</v>
      </c>
      <c r="J62" t="s">
        <v>9</v>
      </c>
      <c r="K62">
        <v>101</v>
      </c>
      <c r="L62">
        <v>102</v>
      </c>
      <c r="M62">
        <v>20018</v>
      </c>
      <c r="N62">
        <v>20019</v>
      </c>
      <c r="O62">
        <v>0</v>
      </c>
      <c r="P62" t="s">
        <v>60</v>
      </c>
    </row>
    <row r="63" spans="1:16">
      <c r="A63" t="s">
        <v>79</v>
      </c>
      <c r="B63">
        <v>20019</v>
      </c>
      <c r="C63">
        <v>72.155950618034538</v>
      </c>
      <c r="D63">
        <v>-2.6975837803119189</v>
      </c>
      <c r="E63">
        <v>0</v>
      </c>
      <c r="F63" t="s">
        <v>60</v>
      </c>
      <c r="G63">
        <v>-3.7360071130127248</v>
      </c>
      <c r="I63">
        <v>20019</v>
      </c>
      <c r="J63" t="s">
        <v>9</v>
      </c>
      <c r="K63">
        <v>101</v>
      </c>
      <c r="L63">
        <v>102</v>
      </c>
      <c r="M63">
        <v>20019</v>
      </c>
      <c r="N63">
        <v>20020</v>
      </c>
      <c r="O63">
        <v>0</v>
      </c>
      <c r="P63" t="s">
        <v>60</v>
      </c>
    </row>
    <row r="64" spans="1:16">
      <c r="A64" t="s">
        <v>79</v>
      </c>
      <c r="B64">
        <v>20020</v>
      </c>
      <c r="C64">
        <v>78.084715595013577</v>
      </c>
      <c r="D64">
        <v>-3.1613539961186605</v>
      </c>
      <c r="E64">
        <v>0</v>
      </c>
      <c r="F64" t="s">
        <v>60</v>
      </c>
      <c r="G64">
        <v>-5.2529128756215808</v>
      </c>
      <c r="I64">
        <v>20020</v>
      </c>
      <c r="J64" t="s">
        <v>9</v>
      </c>
      <c r="K64">
        <v>101</v>
      </c>
      <c r="L64">
        <v>102</v>
      </c>
      <c r="M64">
        <v>20020</v>
      </c>
      <c r="N64">
        <v>20021</v>
      </c>
      <c r="O64">
        <v>0</v>
      </c>
      <c r="P64" t="s">
        <v>60</v>
      </c>
    </row>
    <row r="65" spans="1:16">
      <c r="A65" t="s">
        <v>79</v>
      </c>
      <c r="B65">
        <v>20021</v>
      </c>
      <c r="C65">
        <v>83.991189616471388</v>
      </c>
      <c r="D65">
        <v>-3.792880072212002</v>
      </c>
      <c r="E65">
        <v>0</v>
      </c>
      <c r="F65" t="s">
        <v>60</v>
      </c>
      <c r="G65">
        <v>-6.9614372108394988</v>
      </c>
      <c r="I65">
        <v>20021</v>
      </c>
      <c r="J65" t="s">
        <v>9</v>
      </c>
      <c r="K65">
        <v>101</v>
      </c>
      <c r="L65">
        <v>102</v>
      </c>
      <c r="M65">
        <v>20021</v>
      </c>
      <c r="N65">
        <v>20022</v>
      </c>
      <c r="O65">
        <v>0</v>
      </c>
      <c r="P65" t="s">
        <v>60</v>
      </c>
    </row>
    <row r="66" spans="1:16">
      <c r="A66" t="s">
        <v>79</v>
      </c>
      <c r="B66">
        <v>20022</v>
      </c>
      <c r="C66">
        <v>87.916934841805684</v>
      </c>
      <c r="D66">
        <v>-4.3121119209408647</v>
      </c>
      <c r="E66">
        <v>0</v>
      </c>
      <c r="F66" t="s">
        <v>60</v>
      </c>
      <c r="G66">
        <v>-8.1073528011011469</v>
      </c>
      <c r="I66">
        <v>20022</v>
      </c>
      <c r="J66" t="s">
        <v>9</v>
      </c>
      <c r="K66">
        <v>101</v>
      </c>
      <c r="L66">
        <v>102</v>
      </c>
      <c r="M66">
        <v>20022</v>
      </c>
      <c r="N66">
        <v>20023</v>
      </c>
      <c r="O66">
        <v>0</v>
      </c>
      <c r="P66" t="s">
        <v>60</v>
      </c>
    </row>
    <row r="67" spans="1:16">
      <c r="A67" t="s">
        <v>79</v>
      </c>
      <c r="B67">
        <v>20023</v>
      </c>
      <c r="C67">
        <v>91.831510999586939</v>
      </c>
      <c r="D67">
        <v>-4.9097495970458658</v>
      </c>
      <c r="E67">
        <v>0</v>
      </c>
      <c r="F67" t="s">
        <v>60</v>
      </c>
      <c r="G67">
        <v>-9.2532683913627807</v>
      </c>
      <c r="I67">
        <v>20023</v>
      </c>
      <c r="J67" t="s">
        <v>9</v>
      </c>
      <c r="K67">
        <v>101</v>
      </c>
      <c r="L67">
        <v>102</v>
      </c>
      <c r="M67">
        <v>20023</v>
      </c>
      <c r="N67">
        <v>20024</v>
      </c>
      <c r="O67">
        <v>0</v>
      </c>
      <c r="P67" t="s">
        <v>60</v>
      </c>
    </row>
    <row r="68" spans="1:16">
      <c r="A68" t="s">
        <v>79</v>
      </c>
      <c r="B68">
        <v>20024</v>
      </c>
      <c r="C68">
        <v>97.679009470375235</v>
      </c>
      <c r="D68">
        <v>-5.9526855699201882</v>
      </c>
      <c r="E68">
        <v>0</v>
      </c>
      <c r="F68" t="s">
        <v>60</v>
      </c>
      <c r="G68">
        <v>-10.972141776755253</v>
      </c>
      <c r="I68">
        <v>20024</v>
      </c>
      <c r="J68" t="s">
        <v>9</v>
      </c>
      <c r="K68">
        <v>101</v>
      </c>
      <c r="L68">
        <v>102</v>
      </c>
      <c r="M68">
        <v>20024</v>
      </c>
      <c r="N68">
        <v>20025</v>
      </c>
      <c r="O68">
        <v>0</v>
      </c>
      <c r="P68" t="s">
        <v>60</v>
      </c>
    </row>
    <row r="69" spans="1:16">
      <c r="A69" t="s">
        <v>79</v>
      </c>
      <c r="B69">
        <v>20025</v>
      </c>
      <c r="C69">
        <v>103.49259337801328</v>
      </c>
      <c r="D69">
        <v>-7.1705508983693793</v>
      </c>
      <c r="E69">
        <v>0</v>
      </c>
      <c r="F69" t="s">
        <v>60</v>
      </c>
      <c r="G69">
        <v>-12.691015162147723</v>
      </c>
      <c r="I69">
        <v>20025</v>
      </c>
      <c r="J69" t="s">
        <v>9</v>
      </c>
      <c r="K69">
        <v>101</v>
      </c>
      <c r="L69">
        <v>102</v>
      </c>
      <c r="M69">
        <v>20025</v>
      </c>
      <c r="N69">
        <v>20026</v>
      </c>
      <c r="O69">
        <v>0</v>
      </c>
      <c r="P69" t="s">
        <v>60</v>
      </c>
    </row>
    <row r="70" spans="1:16">
      <c r="A70" t="s">
        <v>79</v>
      </c>
      <c r="B70">
        <v>20026</v>
      </c>
      <c r="C70">
        <v>109.26703088938939</v>
      </c>
      <c r="D70">
        <v>-8.5622495858012631</v>
      </c>
      <c r="E70">
        <v>0</v>
      </c>
      <c r="F70" t="s">
        <v>60</v>
      </c>
      <c r="G70">
        <v>-14.409888547540195</v>
      </c>
      <c r="I70">
        <v>20026</v>
      </c>
      <c r="J70" t="s">
        <v>9</v>
      </c>
      <c r="K70">
        <v>101</v>
      </c>
      <c r="L70">
        <v>102</v>
      </c>
      <c r="M70">
        <v>20026</v>
      </c>
      <c r="N70">
        <v>20027</v>
      </c>
      <c r="O70">
        <v>0</v>
      </c>
      <c r="P70" t="s">
        <v>60</v>
      </c>
    </row>
    <row r="71" spans="1:16">
      <c r="A71" t="s">
        <v>79</v>
      </c>
      <c r="B71">
        <v>20027</v>
      </c>
      <c r="C71">
        <v>111.18224491071875</v>
      </c>
      <c r="D71">
        <v>-9.0645667989367666</v>
      </c>
      <c r="E71">
        <v>0</v>
      </c>
      <c r="F71" t="s">
        <v>60</v>
      </c>
      <c r="G71">
        <v>-14.982846342671019</v>
      </c>
      <c r="I71">
        <v>20027</v>
      </c>
      <c r="J71" t="s">
        <v>9</v>
      </c>
      <c r="K71">
        <v>101</v>
      </c>
      <c r="L71">
        <v>103</v>
      </c>
      <c r="M71">
        <v>20027</v>
      </c>
      <c r="N71">
        <v>20028</v>
      </c>
      <c r="O71">
        <v>0</v>
      </c>
      <c r="P71" t="s">
        <v>60</v>
      </c>
    </row>
    <row r="72" spans="1:16">
      <c r="A72" t="s">
        <v>79</v>
      </c>
      <c r="B72">
        <v>20028</v>
      </c>
      <c r="C72">
        <v>114.99712540050608</v>
      </c>
      <c r="D72">
        <v>-10.126529197334015</v>
      </c>
      <c r="E72">
        <v>0</v>
      </c>
      <c r="F72" t="s">
        <v>60</v>
      </c>
      <c r="G72">
        <v>-16.128761932932665</v>
      </c>
      <c r="I72">
        <v>20028</v>
      </c>
      <c r="J72" t="s">
        <v>9</v>
      </c>
      <c r="K72">
        <v>101</v>
      </c>
      <c r="L72">
        <v>104</v>
      </c>
      <c r="M72">
        <v>20028</v>
      </c>
      <c r="N72">
        <v>20029</v>
      </c>
      <c r="O72">
        <v>0</v>
      </c>
      <c r="P72" t="s">
        <v>60</v>
      </c>
    </row>
    <row r="73" spans="1:16">
      <c r="A73" t="s">
        <v>79</v>
      </c>
      <c r="B73">
        <v>20029</v>
      </c>
      <c r="C73">
        <v>120.67842664372701</v>
      </c>
      <c r="D73">
        <v>-11.861943037365327</v>
      </c>
      <c r="E73">
        <v>0</v>
      </c>
      <c r="F73" t="s">
        <v>60</v>
      </c>
      <c r="G73">
        <v>-17.828691901223618</v>
      </c>
      <c r="I73">
        <v>20029</v>
      </c>
      <c r="J73" t="s">
        <v>9</v>
      </c>
      <c r="K73">
        <v>101</v>
      </c>
      <c r="L73">
        <v>105</v>
      </c>
      <c r="M73">
        <v>20029</v>
      </c>
      <c r="N73">
        <v>20030</v>
      </c>
      <c r="O73">
        <v>0</v>
      </c>
      <c r="P73" t="s">
        <v>60</v>
      </c>
    </row>
    <row r="74" spans="1:16">
      <c r="A74" t="s">
        <v>79</v>
      </c>
      <c r="B74">
        <v>20030</v>
      </c>
      <c r="C74">
        <v>124.44110311715296</v>
      </c>
      <c r="D74">
        <v>-13.109950603852075</v>
      </c>
      <c r="E74">
        <v>0</v>
      </c>
      <c r="F74" t="s">
        <v>62</v>
      </c>
      <c r="G74">
        <v>-18.851421565532132</v>
      </c>
      <c r="I74">
        <v>20030</v>
      </c>
      <c r="J74" t="s">
        <v>9</v>
      </c>
      <c r="K74">
        <v>101</v>
      </c>
      <c r="L74">
        <v>106</v>
      </c>
      <c r="M74">
        <v>20030</v>
      </c>
      <c r="N74">
        <v>20031</v>
      </c>
      <c r="O74">
        <v>0</v>
      </c>
      <c r="P74" t="s">
        <v>62</v>
      </c>
    </row>
    <row r="75" spans="1:16">
      <c r="A75" t="s">
        <v>79</v>
      </c>
      <c r="B75">
        <v>20031</v>
      </c>
      <c r="C75">
        <v>126.31568142573801</v>
      </c>
      <c r="D75">
        <v>-13.758642805187739</v>
      </c>
      <c r="E75">
        <v>0</v>
      </c>
      <c r="F75" t="s">
        <v>62</v>
      </c>
      <c r="G75">
        <v>-19.319814563051583</v>
      </c>
      <c r="I75">
        <v>20031</v>
      </c>
      <c r="J75" t="s">
        <v>9</v>
      </c>
      <c r="K75">
        <v>101</v>
      </c>
      <c r="L75">
        <v>106</v>
      </c>
      <c r="M75">
        <v>20031</v>
      </c>
      <c r="N75">
        <v>20032</v>
      </c>
      <c r="O75">
        <v>0</v>
      </c>
      <c r="P75" t="s">
        <v>62</v>
      </c>
    </row>
    <row r="76" spans="1:16">
      <c r="A76" t="s">
        <v>79</v>
      </c>
      <c r="B76">
        <v>20032</v>
      </c>
      <c r="C76">
        <v>128.18600306073944</v>
      </c>
      <c r="D76">
        <v>-14.42250519145016</v>
      </c>
      <c r="E76">
        <v>0</v>
      </c>
      <c r="F76" t="s">
        <v>64</v>
      </c>
      <c r="G76">
        <v>-19.759559670814493</v>
      </c>
      <c r="I76">
        <v>20032</v>
      </c>
      <c r="J76" t="s">
        <v>9</v>
      </c>
      <c r="K76">
        <v>101</v>
      </c>
      <c r="L76">
        <v>107</v>
      </c>
      <c r="M76">
        <v>20032</v>
      </c>
      <c r="N76">
        <v>20033</v>
      </c>
      <c r="O76">
        <v>0</v>
      </c>
      <c r="P76" t="s">
        <v>64</v>
      </c>
    </row>
    <row r="77" spans="1:16">
      <c r="A77" t="s">
        <v>79</v>
      </c>
      <c r="B77">
        <v>20033</v>
      </c>
      <c r="C77">
        <v>131.91476358859575</v>
      </c>
      <c r="D77">
        <v>-15.791906483637128</v>
      </c>
      <c r="E77">
        <v>0</v>
      </c>
      <c r="F77" t="s">
        <v>64</v>
      </c>
      <c r="G77">
        <v>-20.553106217070681</v>
      </c>
      <c r="I77">
        <v>20033</v>
      </c>
      <c r="J77" t="s">
        <v>9</v>
      </c>
      <c r="K77">
        <v>101</v>
      </c>
      <c r="L77">
        <v>108</v>
      </c>
      <c r="M77">
        <v>20033</v>
      </c>
      <c r="N77">
        <v>20034</v>
      </c>
      <c r="O77">
        <v>0</v>
      </c>
      <c r="P77" t="s">
        <v>64</v>
      </c>
    </row>
    <row r="78" spans="1:16">
      <c r="A78" t="s">
        <v>79</v>
      </c>
      <c r="B78">
        <v>20034</v>
      </c>
      <c r="C78">
        <v>137.48205695600825</v>
      </c>
      <c r="D78">
        <v>-17.935954823463415</v>
      </c>
      <c r="E78">
        <v>0</v>
      </c>
      <c r="F78" t="s">
        <v>64</v>
      </c>
      <c r="G78">
        <v>-21.528566863280911</v>
      </c>
      <c r="I78">
        <v>20034</v>
      </c>
      <c r="J78" t="s">
        <v>9</v>
      </c>
      <c r="K78">
        <v>101</v>
      </c>
      <c r="L78">
        <v>109</v>
      </c>
      <c r="M78">
        <v>20034</v>
      </c>
      <c r="N78">
        <v>20035</v>
      </c>
      <c r="O78">
        <v>0</v>
      </c>
      <c r="P78" t="s">
        <v>64</v>
      </c>
    </row>
    <row r="79" spans="1:16">
      <c r="A79" t="s">
        <v>79</v>
      </c>
      <c r="B79">
        <v>20035</v>
      </c>
      <c r="C79">
        <v>141.1797683799202</v>
      </c>
      <c r="D79">
        <v>-19.414311993221087</v>
      </c>
      <c r="E79">
        <v>0</v>
      </c>
      <c r="F79" t="s">
        <v>64</v>
      </c>
      <c r="G79">
        <v>-22.03563451197169</v>
      </c>
      <c r="I79">
        <v>20035</v>
      </c>
      <c r="J79" t="s">
        <v>9</v>
      </c>
      <c r="K79">
        <v>101</v>
      </c>
      <c r="L79">
        <v>102</v>
      </c>
      <c r="M79">
        <v>20035</v>
      </c>
      <c r="N79">
        <v>20036</v>
      </c>
      <c r="O79">
        <v>0</v>
      </c>
      <c r="P79" t="s">
        <v>64</v>
      </c>
    </row>
    <row r="80" spans="1:16">
      <c r="A80" t="s">
        <v>79</v>
      </c>
      <c r="B80">
        <v>20036</v>
      </c>
      <c r="C80">
        <v>143.02544738124976</v>
      </c>
      <c r="D80">
        <v>-20.165390269000497</v>
      </c>
      <c r="E80">
        <v>0</v>
      </c>
      <c r="F80" t="s">
        <v>64</v>
      </c>
      <c r="G80">
        <v>-22.24619650168226</v>
      </c>
      <c r="I80">
        <v>20036</v>
      </c>
      <c r="J80" t="s">
        <v>9</v>
      </c>
      <c r="K80">
        <v>101</v>
      </c>
      <c r="L80">
        <v>102</v>
      </c>
      <c r="M80">
        <v>20036</v>
      </c>
      <c r="N80">
        <v>20037</v>
      </c>
      <c r="O80">
        <v>0</v>
      </c>
      <c r="P80" t="s">
        <v>64</v>
      </c>
    </row>
    <row r="81" spans="1:16">
      <c r="A81" t="s">
        <v>79</v>
      </c>
      <c r="B81">
        <v>20037</v>
      </c>
      <c r="C81">
        <v>148.5539757405524</v>
      </c>
      <c r="D81">
        <v>-22.455114841395467</v>
      </c>
      <c r="E81">
        <v>0</v>
      </c>
      <c r="F81" t="s">
        <v>64</v>
      </c>
      <c r="G81">
        <v>-22.705995132274754</v>
      </c>
      <c r="I81">
        <v>20037</v>
      </c>
      <c r="J81" t="s">
        <v>9</v>
      </c>
      <c r="K81">
        <v>101</v>
      </c>
      <c r="L81">
        <v>102</v>
      </c>
      <c r="M81">
        <v>20037</v>
      </c>
      <c r="N81">
        <v>20038</v>
      </c>
      <c r="O81">
        <v>0</v>
      </c>
      <c r="P81" t="s">
        <v>64</v>
      </c>
    </row>
    <row r="82" spans="1:16">
      <c r="A82" t="s">
        <v>79</v>
      </c>
      <c r="B82">
        <v>20038</v>
      </c>
      <c r="C82">
        <v>154.07749710812109</v>
      </c>
      <c r="D82">
        <v>-24.780221980828198</v>
      </c>
      <c r="E82">
        <v>0</v>
      </c>
      <c r="F82" t="s">
        <v>64</v>
      </c>
      <c r="G82">
        <v>-22.907962755058357</v>
      </c>
      <c r="I82">
        <v>20038</v>
      </c>
      <c r="J82" t="s">
        <v>9</v>
      </c>
      <c r="K82">
        <v>101</v>
      </c>
      <c r="L82">
        <v>102</v>
      </c>
      <c r="M82">
        <v>20038</v>
      </c>
      <c r="N82">
        <v>20039</v>
      </c>
      <c r="O82">
        <v>0</v>
      </c>
      <c r="P82" t="s">
        <v>64</v>
      </c>
    </row>
    <row r="83" spans="1:16">
      <c r="A83" t="s">
        <v>79</v>
      </c>
      <c r="B83">
        <v>20039</v>
      </c>
      <c r="C83">
        <v>159.60357017963253</v>
      </c>
      <c r="D83">
        <v>-27.11649711076457</v>
      </c>
      <c r="E83">
        <v>0</v>
      </c>
      <c r="F83" t="s">
        <v>64</v>
      </c>
      <c r="G83">
        <v>-22.918311805232911</v>
      </c>
      <c r="I83">
        <v>20039</v>
      </c>
      <c r="J83" t="s">
        <v>9</v>
      </c>
      <c r="K83">
        <v>101</v>
      </c>
      <c r="L83">
        <v>102</v>
      </c>
      <c r="M83">
        <v>20039</v>
      </c>
      <c r="N83">
        <v>20040</v>
      </c>
      <c r="O83">
        <v>0</v>
      </c>
      <c r="P83" t="s">
        <v>64</v>
      </c>
    </row>
    <row r="84" spans="1:16">
      <c r="A84" t="s">
        <v>79</v>
      </c>
      <c r="B84">
        <v>20040</v>
      </c>
      <c r="C84">
        <v>165.12993614364984</v>
      </c>
      <c r="D84">
        <v>-29.453007164616473</v>
      </c>
      <c r="E84">
        <v>0</v>
      </c>
      <c r="F84" t="s">
        <v>64</v>
      </c>
      <c r="G84">
        <v>-22.918311805232911</v>
      </c>
      <c r="I84">
        <v>20040</v>
      </c>
      <c r="J84" t="s">
        <v>9</v>
      </c>
      <c r="K84">
        <v>101</v>
      </c>
      <c r="L84">
        <v>102</v>
      </c>
      <c r="M84">
        <v>20040</v>
      </c>
      <c r="N84">
        <v>20041</v>
      </c>
      <c r="O84">
        <v>0</v>
      </c>
      <c r="P84" t="s">
        <v>64</v>
      </c>
    </row>
    <row r="85" spans="1:16">
      <c r="A85" t="s">
        <v>79</v>
      </c>
      <c r="B85">
        <v>20041</v>
      </c>
      <c r="C85">
        <v>169.27471061666284</v>
      </c>
      <c r="D85">
        <v>-31.205389705005398</v>
      </c>
      <c r="E85">
        <v>0</v>
      </c>
      <c r="F85" t="s">
        <v>64</v>
      </c>
      <c r="G85">
        <v>-22.918311805232911</v>
      </c>
      <c r="I85">
        <v>20041</v>
      </c>
      <c r="J85" t="s">
        <v>9</v>
      </c>
      <c r="K85">
        <v>101</v>
      </c>
      <c r="L85">
        <v>101</v>
      </c>
      <c r="M85">
        <v>20041</v>
      </c>
      <c r="N85">
        <v>20042</v>
      </c>
      <c r="O85">
        <v>0</v>
      </c>
      <c r="P85" t="s">
        <v>64</v>
      </c>
    </row>
    <row r="86" spans="1:16">
      <c r="A86" t="s">
        <v>79</v>
      </c>
      <c r="B86">
        <v>20042</v>
      </c>
      <c r="C86">
        <v>170.287877710066</v>
      </c>
      <c r="D86">
        <v>-31.633749881544912</v>
      </c>
      <c r="E86">
        <v>0</v>
      </c>
      <c r="F86" t="s">
        <v>64</v>
      </c>
      <c r="G86">
        <v>-22.918311805232911</v>
      </c>
      <c r="I86">
        <v>20042</v>
      </c>
      <c r="J86" t="s">
        <v>9</v>
      </c>
      <c r="K86">
        <v>101</v>
      </c>
      <c r="L86">
        <v>101</v>
      </c>
      <c r="M86">
        <v>20042</v>
      </c>
      <c r="N86">
        <v>20043</v>
      </c>
      <c r="O86">
        <v>0</v>
      </c>
      <c r="P86" t="s">
        <v>64</v>
      </c>
    </row>
    <row r="87" spans="1:16">
      <c r="A87" t="s">
        <v>79</v>
      </c>
      <c r="B87">
        <v>20043</v>
      </c>
      <c r="C87">
        <v>170.93262040586802</v>
      </c>
      <c r="D87">
        <v>-31.906342721160961</v>
      </c>
      <c r="E87">
        <v>0</v>
      </c>
      <c r="F87" t="s">
        <v>64</v>
      </c>
      <c r="G87">
        <v>-22.918311805232911</v>
      </c>
    </row>
    <row r="88" spans="1:16">
      <c r="A88" t="s">
        <v>80</v>
      </c>
      <c r="I88">
        <v>40001</v>
      </c>
      <c r="J88" t="s">
        <v>9</v>
      </c>
      <c r="K88">
        <v>101</v>
      </c>
      <c r="L88">
        <v>201</v>
      </c>
      <c r="M88">
        <v>10002</v>
      </c>
      <c r="N88">
        <v>20002</v>
      </c>
      <c r="O88">
        <v>0</v>
      </c>
      <c r="P88" t="s">
        <v>81</v>
      </c>
    </row>
    <row r="89" spans="1:16">
      <c r="A89" t="s">
        <v>80</v>
      </c>
      <c r="I89">
        <v>40002</v>
      </c>
      <c r="J89" t="s">
        <v>9</v>
      </c>
      <c r="K89">
        <v>101</v>
      </c>
      <c r="L89">
        <v>201</v>
      </c>
      <c r="M89">
        <v>10004</v>
      </c>
      <c r="N89">
        <v>20004</v>
      </c>
      <c r="O89">
        <v>0</v>
      </c>
      <c r="P89" t="s">
        <v>81</v>
      </c>
    </row>
    <row r="90" spans="1:16">
      <c r="A90" t="s">
        <v>80</v>
      </c>
      <c r="I90">
        <v>40003</v>
      </c>
      <c r="J90" t="s">
        <v>9</v>
      </c>
      <c r="K90">
        <v>101</v>
      </c>
      <c r="L90">
        <v>201</v>
      </c>
      <c r="M90">
        <v>10005</v>
      </c>
      <c r="N90">
        <v>20005</v>
      </c>
      <c r="O90">
        <v>0</v>
      </c>
      <c r="P90" t="s">
        <v>81</v>
      </c>
    </row>
    <row r="91" spans="1:16">
      <c r="A91" t="s">
        <v>80</v>
      </c>
      <c r="I91">
        <v>40004</v>
      </c>
      <c r="J91" t="s">
        <v>9</v>
      </c>
      <c r="K91">
        <v>101</v>
      </c>
      <c r="L91">
        <v>201</v>
      </c>
      <c r="M91">
        <v>10006</v>
      </c>
      <c r="N91">
        <v>20006</v>
      </c>
      <c r="O91">
        <v>0</v>
      </c>
      <c r="P91" t="s">
        <v>81</v>
      </c>
    </row>
    <row r="92" spans="1:16">
      <c r="A92" t="s">
        <v>80</v>
      </c>
      <c r="I92">
        <v>40005</v>
      </c>
      <c r="J92" t="s">
        <v>9</v>
      </c>
      <c r="K92">
        <v>101</v>
      </c>
      <c r="L92">
        <v>201</v>
      </c>
      <c r="M92">
        <v>10007</v>
      </c>
      <c r="N92">
        <v>20007</v>
      </c>
      <c r="O92">
        <v>0</v>
      </c>
      <c r="P92" t="s">
        <v>81</v>
      </c>
    </row>
    <row r="93" spans="1:16">
      <c r="A93" t="s">
        <v>80</v>
      </c>
      <c r="I93">
        <v>40006</v>
      </c>
      <c r="J93" t="s">
        <v>9</v>
      </c>
      <c r="K93">
        <v>101</v>
      </c>
      <c r="L93">
        <v>201</v>
      </c>
      <c r="M93">
        <v>10008</v>
      </c>
      <c r="N93">
        <v>20008</v>
      </c>
      <c r="O93">
        <v>0</v>
      </c>
      <c r="P93" t="s">
        <v>81</v>
      </c>
    </row>
    <row r="94" spans="1:16">
      <c r="A94" t="s">
        <v>80</v>
      </c>
      <c r="I94">
        <v>40007</v>
      </c>
      <c r="J94" t="s">
        <v>9</v>
      </c>
      <c r="K94">
        <v>101</v>
      </c>
      <c r="L94">
        <v>201</v>
      </c>
      <c r="M94">
        <v>10010</v>
      </c>
      <c r="N94">
        <v>20010</v>
      </c>
      <c r="O94">
        <v>0</v>
      </c>
      <c r="P94" t="s">
        <v>81</v>
      </c>
    </row>
    <row r="95" spans="1:16">
      <c r="A95" t="s">
        <v>80</v>
      </c>
      <c r="I95">
        <v>40008</v>
      </c>
      <c r="J95" t="s">
        <v>9</v>
      </c>
      <c r="K95">
        <v>101</v>
      </c>
      <c r="L95">
        <v>201</v>
      </c>
      <c r="M95">
        <v>10011</v>
      </c>
      <c r="N95">
        <v>20011</v>
      </c>
      <c r="O95">
        <v>0</v>
      </c>
      <c r="P95" t="s">
        <v>81</v>
      </c>
    </row>
    <row r="96" spans="1:16">
      <c r="A96" t="s">
        <v>87</v>
      </c>
      <c r="B96">
        <v>21043</v>
      </c>
      <c r="C96">
        <v>48.299984613135692</v>
      </c>
      <c r="D96">
        <v>-1.1912213392832327E-2</v>
      </c>
      <c r="E96">
        <v>0</v>
      </c>
      <c r="F96" t="s">
        <v>82</v>
      </c>
      <c r="G96">
        <v>0</v>
      </c>
    </row>
    <row r="97" spans="1:16">
      <c r="A97" t="s">
        <v>88</v>
      </c>
      <c r="I97">
        <v>40009</v>
      </c>
      <c r="J97" t="s">
        <v>9</v>
      </c>
      <c r="K97">
        <v>102</v>
      </c>
      <c r="L97">
        <v>202</v>
      </c>
      <c r="M97">
        <v>10013</v>
      </c>
      <c r="N97">
        <v>21043</v>
      </c>
      <c r="O97">
        <v>0</v>
      </c>
      <c r="P97" t="s">
        <v>82</v>
      </c>
    </row>
    <row r="98" spans="1:16">
      <c r="A98" t="s">
        <v>89</v>
      </c>
      <c r="I98">
        <v>40010</v>
      </c>
      <c r="J98" t="s">
        <v>9</v>
      </c>
      <c r="K98">
        <v>102</v>
      </c>
      <c r="L98">
        <v>202</v>
      </c>
      <c r="M98">
        <v>21043</v>
      </c>
      <c r="N98">
        <v>20013</v>
      </c>
      <c r="O98">
        <v>0</v>
      </c>
      <c r="P98" t="s">
        <v>82</v>
      </c>
    </row>
    <row r="99" spans="1:16">
      <c r="A99" t="s">
        <v>80</v>
      </c>
      <c r="I99">
        <v>40011</v>
      </c>
      <c r="J99" t="s">
        <v>9</v>
      </c>
      <c r="K99">
        <v>101</v>
      </c>
      <c r="L99">
        <v>201</v>
      </c>
      <c r="M99">
        <v>10015</v>
      </c>
      <c r="N99">
        <v>20015</v>
      </c>
      <c r="O99">
        <v>0</v>
      </c>
      <c r="P99" t="s">
        <v>83</v>
      </c>
    </row>
    <row r="100" spans="1:16">
      <c r="A100" t="s">
        <v>80</v>
      </c>
      <c r="I100">
        <v>40012</v>
      </c>
      <c r="J100" t="s">
        <v>9</v>
      </c>
      <c r="K100">
        <v>101</v>
      </c>
      <c r="L100">
        <v>201</v>
      </c>
      <c r="M100">
        <v>10016</v>
      </c>
      <c r="N100">
        <v>20016</v>
      </c>
      <c r="O100">
        <v>0</v>
      </c>
      <c r="P100" t="s">
        <v>83</v>
      </c>
    </row>
    <row r="101" spans="1:16">
      <c r="A101" t="s">
        <v>80</v>
      </c>
      <c r="I101">
        <v>40013</v>
      </c>
      <c r="J101" t="s">
        <v>9</v>
      </c>
      <c r="K101">
        <v>101</v>
      </c>
      <c r="L101">
        <v>201</v>
      </c>
      <c r="M101">
        <v>10018</v>
      </c>
      <c r="N101">
        <v>20018</v>
      </c>
      <c r="O101">
        <v>0</v>
      </c>
      <c r="P101" t="s">
        <v>83</v>
      </c>
    </row>
    <row r="102" spans="1:16">
      <c r="A102" t="s">
        <v>80</v>
      </c>
      <c r="I102">
        <v>40014</v>
      </c>
      <c r="J102" t="s">
        <v>9</v>
      </c>
      <c r="K102">
        <v>101</v>
      </c>
      <c r="L102">
        <v>201</v>
      </c>
      <c r="M102">
        <v>10019</v>
      </c>
      <c r="N102">
        <v>20019</v>
      </c>
      <c r="O102">
        <v>0</v>
      </c>
      <c r="P102" t="s">
        <v>83</v>
      </c>
    </row>
    <row r="103" spans="1:16">
      <c r="A103" t="s">
        <v>80</v>
      </c>
      <c r="I103">
        <v>40015</v>
      </c>
      <c r="J103" t="s">
        <v>9</v>
      </c>
      <c r="K103">
        <v>101</v>
      </c>
      <c r="L103">
        <v>201</v>
      </c>
      <c r="M103">
        <v>10020</v>
      </c>
      <c r="N103">
        <v>20020</v>
      </c>
      <c r="O103">
        <v>0</v>
      </c>
      <c r="P103" t="s">
        <v>83</v>
      </c>
    </row>
    <row r="104" spans="1:16">
      <c r="A104" t="s">
        <v>80</v>
      </c>
      <c r="I104">
        <v>40016</v>
      </c>
      <c r="J104" t="s">
        <v>9</v>
      </c>
      <c r="K104">
        <v>101</v>
      </c>
      <c r="L104">
        <v>201</v>
      </c>
      <c r="M104">
        <v>10021</v>
      </c>
      <c r="N104">
        <v>20021</v>
      </c>
      <c r="O104">
        <v>0</v>
      </c>
      <c r="P104" t="s">
        <v>83</v>
      </c>
    </row>
    <row r="105" spans="1:16">
      <c r="A105" t="s">
        <v>80</v>
      </c>
      <c r="I105">
        <v>40017</v>
      </c>
      <c r="J105" t="s">
        <v>9</v>
      </c>
      <c r="K105">
        <v>101</v>
      </c>
      <c r="L105">
        <v>201</v>
      </c>
      <c r="M105">
        <v>10022</v>
      </c>
      <c r="N105">
        <v>20022</v>
      </c>
      <c r="O105">
        <v>0</v>
      </c>
      <c r="P105" t="s">
        <v>83</v>
      </c>
    </row>
    <row r="106" spans="1:16">
      <c r="A106" t="s">
        <v>80</v>
      </c>
      <c r="I106">
        <v>40018</v>
      </c>
      <c r="J106" t="s">
        <v>9</v>
      </c>
      <c r="K106">
        <v>101</v>
      </c>
      <c r="L106">
        <v>201</v>
      </c>
      <c r="M106">
        <v>10023</v>
      </c>
      <c r="N106">
        <v>20023</v>
      </c>
      <c r="O106">
        <v>0</v>
      </c>
      <c r="P106" t="s">
        <v>83</v>
      </c>
    </row>
    <row r="107" spans="1:16">
      <c r="A107" t="s">
        <v>80</v>
      </c>
      <c r="I107">
        <v>40019</v>
      </c>
      <c r="J107" t="s">
        <v>9</v>
      </c>
      <c r="K107">
        <v>101</v>
      </c>
      <c r="L107">
        <v>201</v>
      </c>
      <c r="M107">
        <v>10024</v>
      </c>
      <c r="N107">
        <v>20024</v>
      </c>
      <c r="O107">
        <v>0</v>
      </c>
      <c r="P107" t="s">
        <v>83</v>
      </c>
    </row>
    <row r="108" spans="1:16">
      <c r="A108" t="s">
        <v>80</v>
      </c>
      <c r="I108">
        <v>40020</v>
      </c>
      <c r="J108" t="s">
        <v>9</v>
      </c>
      <c r="K108">
        <v>101</v>
      </c>
      <c r="L108">
        <v>201</v>
      </c>
      <c r="M108">
        <v>10025</v>
      </c>
      <c r="N108">
        <v>20025</v>
      </c>
      <c r="O108">
        <v>0</v>
      </c>
      <c r="P108" t="s">
        <v>83</v>
      </c>
    </row>
    <row r="109" spans="1:16">
      <c r="A109" t="s">
        <v>80</v>
      </c>
      <c r="I109">
        <v>40021</v>
      </c>
      <c r="J109" t="s">
        <v>9</v>
      </c>
      <c r="K109">
        <v>101</v>
      </c>
      <c r="L109">
        <v>201</v>
      </c>
      <c r="M109">
        <v>10026</v>
      </c>
      <c r="N109">
        <v>20026</v>
      </c>
      <c r="O109">
        <v>0</v>
      </c>
      <c r="P109" t="s">
        <v>83</v>
      </c>
    </row>
    <row r="110" spans="1:16">
      <c r="A110" t="s">
        <v>80</v>
      </c>
      <c r="I110">
        <v>40022</v>
      </c>
      <c r="J110" t="s">
        <v>9</v>
      </c>
      <c r="K110">
        <v>101</v>
      </c>
      <c r="L110">
        <v>201</v>
      </c>
      <c r="M110">
        <v>10028</v>
      </c>
      <c r="N110">
        <v>20028</v>
      </c>
      <c r="O110">
        <v>0</v>
      </c>
      <c r="P110" t="s">
        <v>83</v>
      </c>
    </row>
    <row r="111" spans="1:16">
      <c r="A111" t="s">
        <v>80</v>
      </c>
      <c r="I111">
        <v>40023</v>
      </c>
      <c r="J111" t="s">
        <v>9</v>
      </c>
      <c r="K111">
        <v>101</v>
      </c>
      <c r="L111">
        <v>201</v>
      </c>
      <c r="M111">
        <v>10029</v>
      </c>
      <c r="N111">
        <v>20029</v>
      </c>
      <c r="O111">
        <v>0</v>
      </c>
      <c r="P111" t="s">
        <v>83</v>
      </c>
    </row>
    <row r="112" spans="1:16">
      <c r="A112" t="s">
        <v>90</v>
      </c>
      <c r="B112">
        <v>21044</v>
      </c>
      <c r="C112">
        <v>126.97736295979033</v>
      </c>
      <c r="D112">
        <v>-11.871269618058554</v>
      </c>
      <c r="E112">
        <v>0</v>
      </c>
      <c r="F112" t="s">
        <v>84</v>
      </c>
      <c r="G112">
        <v>0</v>
      </c>
    </row>
    <row r="113" spans="1:19">
      <c r="A113" t="s">
        <v>88</v>
      </c>
      <c r="I113">
        <v>40024</v>
      </c>
      <c r="J113" t="s">
        <v>9</v>
      </c>
      <c r="K113">
        <v>102</v>
      </c>
      <c r="L113">
        <v>202</v>
      </c>
      <c r="M113">
        <v>10031</v>
      </c>
      <c r="N113">
        <v>21044</v>
      </c>
      <c r="O113">
        <v>0</v>
      </c>
      <c r="P113" t="s">
        <v>84</v>
      </c>
    </row>
    <row r="114" spans="1:19">
      <c r="A114" t="s">
        <v>89</v>
      </c>
      <c r="I114">
        <v>40025</v>
      </c>
      <c r="J114" t="s">
        <v>9</v>
      </c>
      <c r="K114">
        <v>102</v>
      </c>
      <c r="L114">
        <v>202</v>
      </c>
      <c r="M114">
        <v>21044</v>
      </c>
      <c r="N114">
        <v>20031</v>
      </c>
      <c r="O114">
        <v>0</v>
      </c>
      <c r="P114" t="s">
        <v>84</v>
      </c>
    </row>
    <row r="115" spans="1:19">
      <c r="A115" t="s">
        <v>80</v>
      </c>
      <c r="I115">
        <v>40026</v>
      </c>
      <c r="J115" t="s">
        <v>9</v>
      </c>
      <c r="K115">
        <v>101</v>
      </c>
      <c r="L115">
        <v>201</v>
      </c>
      <c r="M115">
        <v>10033</v>
      </c>
      <c r="N115">
        <v>20033</v>
      </c>
      <c r="O115">
        <v>0</v>
      </c>
      <c r="P115" t="s">
        <v>85</v>
      </c>
    </row>
    <row r="116" spans="1:19">
      <c r="A116" t="s">
        <v>80</v>
      </c>
      <c r="I116">
        <v>40027</v>
      </c>
      <c r="J116" t="s">
        <v>9</v>
      </c>
      <c r="K116">
        <v>101</v>
      </c>
      <c r="L116">
        <v>201</v>
      </c>
      <c r="M116">
        <v>10034</v>
      </c>
      <c r="N116">
        <v>20034</v>
      </c>
      <c r="O116">
        <v>0</v>
      </c>
      <c r="P116" t="s">
        <v>85</v>
      </c>
    </row>
    <row r="117" spans="1:19">
      <c r="A117" t="s">
        <v>80</v>
      </c>
      <c r="I117">
        <v>40028</v>
      </c>
      <c r="J117" t="s">
        <v>9</v>
      </c>
      <c r="K117">
        <v>101</v>
      </c>
      <c r="L117">
        <v>201</v>
      </c>
      <c r="M117">
        <v>10036</v>
      </c>
      <c r="N117">
        <v>20036</v>
      </c>
      <c r="O117">
        <v>0</v>
      </c>
      <c r="P117" t="s">
        <v>85</v>
      </c>
    </row>
    <row r="118" spans="1:19">
      <c r="A118" t="s">
        <v>80</v>
      </c>
      <c r="I118">
        <v>40029</v>
      </c>
      <c r="J118" t="s">
        <v>9</v>
      </c>
      <c r="K118">
        <v>101</v>
      </c>
      <c r="L118">
        <v>201</v>
      </c>
      <c r="M118">
        <v>10037</v>
      </c>
      <c r="N118">
        <v>20037</v>
      </c>
      <c r="O118">
        <v>0</v>
      </c>
      <c r="P118" t="s">
        <v>85</v>
      </c>
    </row>
    <row r="119" spans="1:19">
      <c r="A119" t="s">
        <v>80</v>
      </c>
      <c r="I119">
        <v>40030</v>
      </c>
      <c r="J119" t="s">
        <v>9</v>
      </c>
      <c r="K119">
        <v>101</v>
      </c>
      <c r="L119">
        <v>201</v>
      </c>
      <c r="M119">
        <v>10038</v>
      </c>
      <c r="N119">
        <v>20038</v>
      </c>
      <c r="O119">
        <v>0</v>
      </c>
      <c r="P119" t="s">
        <v>85</v>
      </c>
    </row>
    <row r="120" spans="1:19">
      <c r="A120" t="s">
        <v>80</v>
      </c>
      <c r="I120">
        <v>40031</v>
      </c>
      <c r="J120" t="s">
        <v>9</v>
      </c>
      <c r="K120">
        <v>101</v>
      </c>
      <c r="L120">
        <v>201</v>
      </c>
      <c r="M120">
        <v>10039</v>
      </c>
      <c r="N120">
        <v>20039</v>
      </c>
      <c r="O120">
        <v>0</v>
      </c>
      <c r="P120" t="s">
        <v>85</v>
      </c>
    </row>
    <row r="121" spans="1:19">
      <c r="A121" t="s">
        <v>80</v>
      </c>
      <c r="I121">
        <v>40032</v>
      </c>
      <c r="J121" t="s">
        <v>9</v>
      </c>
      <c r="K121">
        <v>101</v>
      </c>
      <c r="L121">
        <v>201</v>
      </c>
      <c r="M121">
        <v>10040</v>
      </c>
      <c r="N121">
        <v>20040</v>
      </c>
      <c r="O121">
        <v>0</v>
      </c>
      <c r="P121" t="s">
        <v>85</v>
      </c>
    </row>
    <row r="122" spans="1:19">
      <c r="A122" t="s">
        <v>80</v>
      </c>
      <c r="I122">
        <v>40033</v>
      </c>
      <c r="J122" t="s">
        <v>9</v>
      </c>
      <c r="K122">
        <v>101</v>
      </c>
      <c r="L122">
        <v>201</v>
      </c>
      <c r="M122">
        <v>10042</v>
      </c>
      <c r="N122">
        <v>20042</v>
      </c>
      <c r="O122">
        <v>0</v>
      </c>
      <c r="P122" t="s">
        <v>85</v>
      </c>
    </row>
    <row r="123" spans="1:19">
      <c r="A123" t="s">
        <v>73</v>
      </c>
      <c r="B123">
        <v>50001</v>
      </c>
      <c r="C123">
        <v>48.299984613135692</v>
      </c>
      <c r="D123">
        <v>-1.1912213392832327E-2</v>
      </c>
      <c r="E123">
        <v>-16.84</v>
      </c>
      <c r="F123" t="s">
        <v>38</v>
      </c>
      <c r="G123">
        <v>-0.24669414066601392</v>
      </c>
    </row>
    <row r="124" spans="1:19">
      <c r="A124" t="s">
        <v>74</v>
      </c>
      <c r="B124">
        <v>50002</v>
      </c>
      <c r="C124">
        <v>48.299984613135692</v>
      </c>
      <c r="D124">
        <v>-1.1912213392832327E-2</v>
      </c>
      <c r="E124">
        <v>-4</v>
      </c>
      <c r="F124" t="s">
        <v>38</v>
      </c>
      <c r="G124">
        <v>-0.24669414066601392</v>
      </c>
    </row>
    <row r="125" spans="1:19">
      <c r="A125" t="s">
        <v>75</v>
      </c>
      <c r="I125">
        <v>50001</v>
      </c>
      <c r="J125" t="s">
        <v>9</v>
      </c>
      <c r="K125">
        <v>101</v>
      </c>
      <c r="L125">
        <v>301</v>
      </c>
      <c r="M125">
        <v>50001</v>
      </c>
      <c r="N125">
        <v>50002</v>
      </c>
      <c r="O125">
        <v>-0.24669414066601392</v>
      </c>
      <c r="P125" t="s">
        <v>38</v>
      </c>
      <c r="R125">
        <v>50002</v>
      </c>
      <c r="S125">
        <v>21043</v>
      </c>
    </row>
    <row r="126" spans="1:19">
      <c r="A126" t="s">
        <v>76</v>
      </c>
      <c r="B126">
        <v>60001</v>
      </c>
      <c r="C126">
        <v>126.97736295979033</v>
      </c>
      <c r="D126">
        <v>-11.871269618058554</v>
      </c>
      <c r="E126">
        <v>-16.84</v>
      </c>
      <c r="F126" t="s">
        <v>71</v>
      </c>
      <c r="G126">
        <v>-19.319814563051583</v>
      </c>
    </row>
    <row r="127" spans="1:19">
      <c r="A127" t="s">
        <v>77</v>
      </c>
      <c r="B127">
        <v>60002</v>
      </c>
      <c r="C127">
        <v>126.97736295979033</v>
      </c>
      <c r="D127">
        <v>-11.871269618058554</v>
      </c>
      <c r="E127">
        <v>-4</v>
      </c>
      <c r="F127" t="s">
        <v>71</v>
      </c>
      <c r="G127">
        <v>-19.319814563051583</v>
      </c>
    </row>
    <row r="128" spans="1:19">
      <c r="A128" t="s">
        <v>78</v>
      </c>
      <c r="I128">
        <v>60001</v>
      </c>
      <c r="J128" t="s">
        <v>9</v>
      </c>
      <c r="K128">
        <v>101</v>
      </c>
      <c r="L128">
        <v>301</v>
      </c>
      <c r="M128">
        <v>60001</v>
      </c>
      <c r="N128">
        <v>60002</v>
      </c>
      <c r="O128">
        <v>-19.319814563051583</v>
      </c>
      <c r="P128" t="s">
        <v>71</v>
      </c>
      <c r="R128">
        <v>60002</v>
      </c>
      <c r="S128">
        <v>21044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9FA87-4EA7-4F00-A8FA-D492C3E86E0D}">
  <sheetPr codeName="Sheet1"/>
  <dimension ref="B2:Q84"/>
  <sheetViews>
    <sheetView showGridLines="0" tabSelected="1" zoomScale="70" zoomScaleNormal="70" workbookViewId="0">
      <selection activeCell="S18" sqref="S18"/>
    </sheetView>
  </sheetViews>
  <sheetFormatPr defaultRowHeight="20.100000000000001" customHeight="1"/>
  <cols>
    <col min="2" max="17" width="10.625" customWidth="1"/>
  </cols>
  <sheetData>
    <row r="2" spans="2:15" ht="20.100000000000001" customHeight="1">
      <c r="B2" s="8" t="s">
        <v>42</v>
      </c>
    </row>
    <row r="3" spans="2:15" ht="20.100000000000001" customHeight="1">
      <c r="B3" s="9" t="s">
        <v>26</v>
      </c>
      <c r="C3" s="23" t="s">
        <v>28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2:15" ht="20.100000000000001" customHeight="1">
      <c r="B4" s="9" t="s">
        <v>27</v>
      </c>
      <c r="C4" s="24" t="s">
        <v>29</v>
      </c>
      <c r="D4" s="3"/>
      <c r="E4" s="3"/>
      <c r="F4" s="3"/>
      <c r="G4" s="3"/>
      <c r="H4" s="3"/>
      <c r="I4" s="2"/>
      <c r="J4" s="3"/>
      <c r="K4" s="3"/>
      <c r="L4" s="3"/>
      <c r="M4" s="3"/>
      <c r="N4" s="3"/>
      <c r="O4" s="3"/>
    </row>
    <row r="7" spans="2:15" ht="20.100000000000001" customHeight="1">
      <c r="B7" s="8" t="s">
        <v>47</v>
      </c>
    </row>
    <row r="8" spans="2:15" ht="20.100000000000001" customHeight="1">
      <c r="B8" s="4" t="s">
        <v>13</v>
      </c>
      <c r="C8" s="4" t="s">
        <v>14</v>
      </c>
      <c r="D8" s="4" t="s">
        <v>15</v>
      </c>
      <c r="E8" s="4" t="s">
        <v>16</v>
      </c>
    </row>
    <row r="9" spans="2:15" ht="20.100000000000001" customHeight="1">
      <c r="B9" s="21" t="s">
        <v>46</v>
      </c>
      <c r="C9" s="22">
        <v>40</v>
      </c>
      <c r="D9" s="22">
        <v>0</v>
      </c>
      <c r="E9" s="22">
        <v>0</v>
      </c>
    </row>
    <row r="10" spans="2:15" ht="20.100000000000001" customHeight="1">
      <c r="B10" s="21" t="s">
        <v>44</v>
      </c>
      <c r="C10" s="22">
        <v>40</v>
      </c>
      <c r="D10" s="22">
        <v>0</v>
      </c>
      <c r="E10" s="22">
        <v>200</v>
      </c>
    </row>
    <row r="11" spans="2:15" ht="20.100000000000001" customHeight="1">
      <c r="B11" s="21" t="s">
        <v>45</v>
      </c>
      <c r="C11" s="22">
        <v>40</v>
      </c>
      <c r="D11" s="22">
        <v>200</v>
      </c>
      <c r="E11" s="22">
        <v>0</v>
      </c>
    </row>
    <row r="12" spans="2:15" ht="20.100000000000001" customHeight="1">
      <c r="B12" s="21" t="s">
        <v>44</v>
      </c>
      <c r="C12" s="22">
        <v>40</v>
      </c>
      <c r="D12" s="22">
        <v>200</v>
      </c>
      <c r="E12" s="22">
        <v>0</v>
      </c>
    </row>
    <row r="13" spans="2:15" ht="20.100000000000001" customHeight="1">
      <c r="B13" s="21" t="s">
        <v>46</v>
      </c>
      <c r="C13" s="22">
        <v>40</v>
      </c>
      <c r="D13" s="22">
        <v>0</v>
      </c>
      <c r="E13" s="22">
        <v>0</v>
      </c>
    </row>
    <row r="14" spans="2:15" ht="20.100000000000001" customHeight="1">
      <c r="B14" s="5"/>
      <c r="C14" s="6">
        <f>SUM(C9:C13)</f>
        <v>200</v>
      </c>
      <c r="D14" s="5"/>
      <c r="E14" s="7" t="s">
        <v>43</v>
      </c>
    </row>
    <row r="17" spans="2:17" ht="20.100000000000001" customHeight="1">
      <c r="B17" s="8" t="s">
        <v>54</v>
      </c>
    </row>
    <row r="18" spans="2:17" ht="20.100000000000001" customHeight="1">
      <c r="B18" s="25" t="s">
        <v>53</v>
      </c>
      <c r="C18" s="25"/>
      <c r="D18" s="25" t="s">
        <v>54</v>
      </c>
      <c r="E18" s="25"/>
      <c r="F18" s="25"/>
    </row>
    <row r="19" spans="2:17" ht="20.100000000000001" customHeight="1">
      <c r="B19" s="25"/>
      <c r="C19" s="25"/>
      <c r="D19" s="12" t="s">
        <v>23</v>
      </c>
      <c r="E19" s="12" t="s">
        <v>24</v>
      </c>
      <c r="F19" s="12" t="s">
        <v>25</v>
      </c>
    </row>
    <row r="20" spans="2:17" ht="20.100000000000001" customHeight="1">
      <c r="B20" s="25" t="s">
        <v>50</v>
      </c>
      <c r="C20" s="26"/>
      <c r="D20" s="18">
        <v>2</v>
      </c>
      <c r="E20" s="18">
        <v>-2</v>
      </c>
      <c r="F20" s="18">
        <v>2</v>
      </c>
    </row>
    <row r="21" spans="2:17" ht="20.100000000000001" customHeight="1">
      <c r="B21" s="25" t="s">
        <v>52</v>
      </c>
      <c r="C21" s="26"/>
      <c r="D21" s="2">
        <v>10001</v>
      </c>
      <c r="E21" s="2">
        <v>20001</v>
      </c>
      <c r="F21" s="2">
        <v>30001</v>
      </c>
    </row>
    <row r="22" spans="2:17" ht="20.100000000000001" customHeight="1">
      <c r="B22" s="25" t="s">
        <v>51</v>
      </c>
      <c r="C22" s="26"/>
      <c r="D22" s="2">
        <v>40001</v>
      </c>
      <c r="E22" s="12"/>
      <c r="F22" s="12"/>
    </row>
    <row r="25" spans="2:17" ht="20.100000000000001" customHeight="1">
      <c r="B25" s="15" t="s">
        <v>49</v>
      </c>
    </row>
    <row r="26" spans="2:17" ht="20.100000000000001" customHeight="1">
      <c r="B26" s="25" t="s">
        <v>32</v>
      </c>
      <c r="C26" s="25"/>
      <c r="D26" s="25"/>
      <c r="E26" s="25"/>
      <c r="F26" s="26"/>
      <c r="G26" s="27" t="s">
        <v>30</v>
      </c>
      <c r="H26" s="25"/>
      <c r="I26" s="25"/>
      <c r="J26" s="26"/>
      <c r="K26" s="25" t="s">
        <v>36</v>
      </c>
      <c r="L26" s="25"/>
      <c r="M26" s="25"/>
      <c r="N26" s="25"/>
      <c r="O26" s="25"/>
      <c r="P26" s="25"/>
      <c r="Q26" s="25"/>
    </row>
    <row r="27" spans="2:17" ht="20.100000000000001" customHeight="1">
      <c r="B27" s="12" t="s">
        <v>17</v>
      </c>
      <c r="C27" s="12" t="s">
        <v>14</v>
      </c>
      <c r="D27" s="12" t="s">
        <v>18</v>
      </c>
      <c r="E27" s="12" t="s">
        <v>19</v>
      </c>
      <c r="F27" s="13" t="s">
        <v>20</v>
      </c>
      <c r="G27" s="14" t="s">
        <v>21</v>
      </c>
      <c r="H27" s="12" t="s">
        <v>19</v>
      </c>
      <c r="I27" s="12" t="s">
        <v>20</v>
      </c>
      <c r="J27" s="13" t="s">
        <v>18</v>
      </c>
      <c r="K27" s="12" t="s">
        <v>21</v>
      </c>
      <c r="L27" s="12" t="s">
        <v>34</v>
      </c>
      <c r="M27" s="9" t="s">
        <v>35</v>
      </c>
      <c r="N27" s="12" t="s">
        <v>19</v>
      </c>
      <c r="O27" s="12" t="s">
        <v>20</v>
      </c>
      <c r="P27" s="12" t="s">
        <v>18</v>
      </c>
      <c r="Q27" s="12" t="s">
        <v>33</v>
      </c>
    </row>
    <row r="28" spans="2:17" ht="20.100000000000001" customHeight="1">
      <c r="B28" s="17">
        <v>1</v>
      </c>
      <c r="C28" s="18">
        <v>0.7</v>
      </c>
      <c r="D28" s="2" t="s">
        <v>59</v>
      </c>
      <c r="E28" s="17">
        <v>101</v>
      </c>
      <c r="F28" s="20">
        <v>101</v>
      </c>
      <c r="G28" s="11" t="s">
        <v>48</v>
      </c>
      <c r="H28" s="2">
        <v>2</v>
      </c>
      <c r="I28" s="2">
        <v>2</v>
      </c>
      <c r="J28" s="10" t="s">
        <v>31</v>
      </c>
      <c r="K28" s="2" t="s">
        <v>48</v>
      </c>
      <c r="L28" s="2">
        <v>-4</v>
      </c>
      <c r="M28" s="2">
        <v>-16.84</v>
      </c>
      <c r="N28" s="2">
        <v>3</v>
      </c>
      <c r="O28" s="2">
        <v>3</v>
      </c>
      <c r="P28" s="2" t="s">
        <v>39</v>
      </c>
      <c r="Q28" s="2">
        <v>50001</v>
      </c>
    </row>
    <row r="29" spans="2:17" ht="20.100000000000001" customHeight="1">
      <c r="B29" s="17">
        <v>1</v>
      </c>
      <c r="C29" s="18">
        <v>1.1000000000000001</v>
      </c>
      <c r="D29" s="2" t="s">
        <v>59</v>
      </c>
      <c r="E29" s="17">
        <v>101</v>
      </c>
      <c r="F29" s="20">
        <v>101</v>
      </c>
      <c r="G29" s="11" t="s">
        <v>55</v>
      </c>
      <c r="H29" s="2">
        <v>101</v>
      </c>
      <c r="I29" s="2">
        <v>201</v>
      </c>
      <c r="J29" s="10" t="s">
        <v>66</v>
      </c>
      <c r="K29" s="2" t="s">
        <v>48</v>
      </c>
      <c r="L29" s="2">
        <v>-4</v>
      </c>
      <c r="M29" s="2">
        <v>-16.84</v>
      </c>
      <c r="N29" s="2">
        <v>3</v>
      </c>
      <c r="O29" s="2">
        <v>3</v>
      </c>
      <c r="P29" s="2" t="s">
        <v>39</v>
      </c>
      <c r="Q29" s="2">
        <v>50001</v>
      </c>
    </row>
    <row r="30" spans="2:17" ht="20.100000000000001" customHeight="1">
      <c r="B30" s="17">
        <v>1</v>
      </c>
      <c r="C30" s="18">
        <v>4.5</v>
      </c>
      <c r="D30" s="2" t="s">
        <v>59</v>
      </c>
      <c r="E30" s="17">
        <v>101</v>
      </c>
      <c r="F30" s="20">
        <v>102</v>
      </c>
      <c r="G30" s="11" t="s">
        <v>48</v>
      </c>
      <c r="H30" s="2">
        <v>2</v>
      </c>
      <c r="I30" s="2">
        <v>2</v>
      </c>
      <c r="J30" s="10" t="s">
        <v>31</v>
      </c>
      <c r="K30" s="2" t="s">
        <v>48</v>
      </c>
      <c r="L30" s="2">
        <v>-4</v>
      </c>
      <c r="M30" s="2">
        <v>-16.84</v>
      </c>
      <c r="N30" s="2">
        <v>3</v>
      </c>
      <c r="O30" s="2">
        <v>3</v>
      </c>
      <c r="P30" s="2" t="s">
        <v>39</v>
      </c>
      <c r="Q30" s="2">
        <v>50001</v>
      </c>
    </row>
    <row r="31" spans="2:17" ht="20.100000000000001" customHeight="1">
      <c r="B31" s="17">
        <v>4</v>
      </c>
      <c r="C31" s="18">
        <v>6</v>
      </c>
      <c r="D31" s="2" t="s">
        <v>59</v>
      </c>
      <c r="E31" s="17">
        <v>101</v>
      </c>
      <c r="F31" s="20">
        <v>102</v>
      </c>
      <c r="G31" s="11" t="s">
        <v>55</v>
      </c>
      <c r="H31" s="2">
        <v>101</v>
      </c>
      <c r="I31" s="2">
        <v>201</v>
      </c>
      <c r="J31" s="10" t="s">
        <v>66</v>
      </c>
      <c r="K31" s="2" t="s">
        <v>48</v>
      </c>
      <c r="L31" s="2">
        <v>-4</v>
      </c>
      <c r="M31" s="2">
        <v>-16.84</v>
      </c>
      <c r="N31" s="2">
        <v>3</v>
      </c>
      <c r="O31" s="2">
        <v>3</v>
      </c>
      <c r="P31" s="2" t="s">
        <v>39</v>
      </c>
      <c r="Q31" s="2">
        <v>50001</v>
      </c>
    </row>
    <row r="32" spans="2:17" ht="20.100000000000001" customHeight="1">
      <c r="B32" s="17">
        <v>1</v>
      </c>
      <c r="C32" s="18">
        <v>2</v>
      </c>
      <c r="D32" s="2" t="s">
        <v>59</v>
      </c>
      <c r="E32" s="17">
        <v>101</v>
      </c>
      <c r="F32" s="20">
        <v>102</v>
      </c>
      <c r="G32" s="11" t="s">
        <v>55</v>
      </c>
      <c r="H32" s="2">
        <v>101</v>
      </c>
      <c r="I32" s="2">
        <v>201</v>
      </c>
      <c r="J32" s="10" t="s">
        <v>66</v>
      </c>
      <c r="K32" s="2" t="s">
        <v>48</v>
      </c>
      <c r="L32" s="2">
        <v>-4</v>
      </c>
      <c r="M32" s="2">
        <v>-16.84</v>
      </c>
      <c r="N32" s="2">
        <v>3</v>
      </c>
      <c r="O32" s="2">
        <v>3</v>
      </c>
      <c r="P32" s="2" t="s">
        <v>39</v>
      </c>
      <c r="Q32" s="2">
        <v>50001</v>
      </c>
    </row>
    <row r="33" spans="2:17" ht="20.100000000000001" customHeight="1">
      <c r="B33" s="17">
        <v>1</v>
      </c>
      <c r="C33" s="18">
        <v>4</v>
      </c>
      <c r="D33" s="2" t="s">
        <v>59</v>
      </c>
      <c r="E33" s="17">
        <v>101</v>
      </c>
      <c r="F33" s="20">
        <v>103</v>
      </c>
      <c r="G33" s="11" t="s">
        <v>48</v>
      </c>
      <c r="H33" s="2">
        <v>101</v>
      </c>
      <c r="I33" s="2">
        <v>201</v>
      </c>
      <c r="J33" s="10" t="s">
        <v>31</v>
      </c>
      <c r="K33" s="2" t="s">
        <v>48</v>
      </c>
      <c r="L33" s="2">
        <v>-4</v>
      </c>
      <c r="M33" s="2">
        <v>-16.84</v>
      </c>
      <c r="N33" s="2">
        <v>3</v>
      </c>
      <c r="O33" s="2">
        <v>3</v>
      </c>
      <c r="P33" s="2" t="s">
        <v>39</v>
      </c>
      <c r="Q33" s="2">
        <v>50001</v>
      </c>
    </row>
    <row r="34" spans="2:17" ht="18.75" customHeight="1">
      <c r="B34" s="17">
        <v>1</v>
      </c>
      <c r="C34" s="18">
        <v>6</v>
      </c>
      <c r="D34" s="2" t="s">
        <v>59</v>
      </c>
      <c r="E34" s="17">
        <v>101</v>
      </c>
      <c r="F34" s="20">
        <v>104</v>
      </c>
      <c r="G34" s="11" t="s">
        <v>55</v>
      </c>
      <c r="H34" s="2">
        <v>101</v>
      </c>
      <c r="I34" s="2">
        <v>201</v>
      </c>
      <c r="J34" s="10" t="s">
        <v>66</v>
      </c>
      <c r="K34" s="2" t="s">
        <v>48</v>
      </c>
      <c r="L34" s="2">
        <v>-4</v>
      </c>
      <c r="M34" s="2">
        <v>-16.84</v>
      </c>
      <c r="N34" s="2">
        <v>3</v>
      </c>
      <c r="O34" s="2">
        <v>3</v>
      </c>
      <c r="P34" s="2" t="s">
        <v>39</v>
      </c>
      <c r="Q34" s="2">
        <v>50001</v>
      </c>
    </row>
    <row r="35" spans="2:17" ht="20.100000000000001" customHeight="1">
      <c r="B35" s="17">
        <v>1</v>
      </c>
      <c r="C35" s="18">
        <v>4</v>
      </c>
      <c r="D35" s="2" t="s">
        <v>59</v>
      </c>
      <c r="E35" s="17">
        <v>101</v>
      </c>
      <c r="F35" s="20">
        <v>105</v>
      </c>
      <c r="G35" s="11" t="s">
        <v>55</v>
      </c>
      <c r="H35" s="2">
        <v>101</v>
      </c>
      <c r="I35" s="2">
        <v>201</v>
      </c>
      <c r="J35" s="10" t="s">
        <v>66</v>
      </c>
      <c r="K35" s="2" t="s">
        <v>48</v>
      </c>
      <c r="L35" s="2">
        <v>-4</v>
      </c>
      <c r="M35" s="2">
        <v>-16.84</v>
      </c>
      <c r="N35" s="2">
        <v>3</v>
      </c>
      <c r="O35" s="2">
        <v>3</v>
      </c>
      <c r="P35" s="2" t="s">
        <v>39</v>
      </c>
      <c r="Q35" s="2">
        <v>50001</v>
      </c>
    </row>
    <row r="36" spans="2:17" ht="20.100000000000001" customHeight="1">
      <c r="B36" s="17">
        <v>1</v>
      </c>
      <c r="C36" s="18">
        <v>2</v>
      </c>
      <c r="D36" s="2" t="s">
        <v>57</v>
      </c>
      <c r="E36" s="17">
        <v>101</v>
      </c>
      <c r="F36" s="20">
        <v>106</v>
      </c>
      <c r="G36" s="11" t="s">
        <v>48</v>
      </c>
      <c r="H36" s="2">
        <v>101</v>
      </c>
      <c r="I36" s="2">
        <v>201</v>
      </c>
      <c r="J36" s="10" t="s">
        <v>31</v>
      </c>
      <c r="K36" s="2" t="s">
        <v>48</v>
      </c>
      <c r="L36" s="2">
        <v>-4</v>
      </c>
      <c r="M36" s="2">
        <v>-16.84</v>
      </c>
      <c r="N36" s="2">
        <v>3</v>
      </c>
      <c r="O36" s="2">
        <v>3</v>
      </c>
      <c r="P36" s="2" t="s">
        <v>39</v>
      </c>
      <c r="Q36" s="2">
        <v>50001</v>
      </c>
    </row>
    <row r="37" spans="2:17" ht="20.100000000000001" customHeight="1">
      <c r="B37" s="17">
        <v>1</v>
      </c>
      <c r="C37" s="18">
        <v>2</v>
      </c>
      <c r="D37" s="2" t="s">
        <v>57</v>
      </c>
      <c r="E37" s="17">
        <v>101</v>
      </c>
      <c r="F37" s="20">
        <v>106</v>
      </c>
      <c r="G37" s="11" t="s">
        <v>55</v>
      </c>
      <c r="H37" s="2">
        <v>102</v>
      </c>
      <c r="I37" s="2">
        <v>202</v>
      </c>
      <c r="J37" s="10" t="s">
        <v>67</v>
      </c>
      <c r="K37" s="2" t="s">
        <v>55</v>
      </c>
      <c r="L37" s="2">
        <v>-4</v>
      </c>
      <c r="M37" s="2">
        <v>-16.84</v>
      </c>
      <c r="N37" s="2">
        <v>101</v>
      </c>
      <c r="O37" s="2">
        <v>301</v>
      </c>
      <c r="P37" s="2" t="s">
        <v>39</v>
      </c>
      <c r="Q37" s="2">
        <v>50001</v>
      </c>
    </row>
    <row r="38" spans="2:17" ht="20.100000000000001" customHeight="1">
      <c r="B38" s="17">
        <v>1</v>
      </c>
      <c r="C38" s="18">
        <v>4</v>
      </c>
      <c r="D38" s="2" t="s">
        <v>61</v>
      </c>
      <c r="E38" s="17">
        <v>101</v>
      </c>
      <c r="F38" s="20">
        <v>107</v>
      </c>
      <c r="G38" s="11" t="s">
        <v>48</v>
      </c>
      <c r="H38" s="2">
        <v>101</v>
      </c>
      <c r="I38" s="2">
        <v>202</v>
      </c>
      <c r="J38" s="10" t="s">
        <v>31</v>
      </c>
      <c r="K38" s="2" t="s">
        <v>48</v>
      </c>
      <c r="L38" s="2">
        <v>-4</v>
      </c>
      <c r="M38" s="2">
        <v>-16.84</v>
      </c>
      <c r="N38" s="2">
        <v>3</v>
      </c>
      <c r="O38" s="2">
        <v>3</v>
      </c>
      <c r="P38" s="2" t="s">
        <v>39</v>
      </c>
      <c r="Q38" s="2">
        <v>50001</v>
      </c>
    </row>
    <row r="39" spans="2:17" ht="20.100000000000001" customHeight="1">
      <c r="B39" s="17">
        <v>1</v>
      </c>
      <c r="C39" s="18">
        <v>6</v>
      </c>
      <c r="D39" s="2" t="s">
        <v>61</v>
      </c>
      <c r="E39" s="17">
        <v>101</v>
      </c>
      <c r="F39" s="20">
        <v>108</v>
      </c>
      <c r="G39" s="11" t="s">
        <v>55</v>
      </c>
      <c r="H39" s="2">
        <v>101</v>
      </c>
      <c r="I39" s="2">
        <v>201</v>
      </c>
      <c r="J39" s="10" t="s">
        <v>68</v>
      </c>
      <c r="K39" s="2" t="s">
        <v>48</v>
      </c>
      <c r="L39" s="2">
        <v>-4</v>
      </c>
      <c r="M39" s="2">
        <v>-16.84</v>
      </c>
      <c r="N39" s="2">
        <v>3</v>
      </c>
      <c r="O39" s="2">
        <v>3</v>
      </c>
      <c r="P39" s="2" t="s">
        <v>39</v>
      </c>
      <c r="Q39" s="2">
        <v>50001</v>
      </c>
    </row>
    <row r="40" spans="2:17" ht="20.100000000000001" customHeight="1">
      <c r="B40" s="17">
        <v>1</v>
      </c>
      <c r="C40" s="18">
        <v>4</v>
      </c>
      <c r="D40" s="2" t="s">
        <v>61</v>
      </c>
      <c r="E40" s="17">
        <v>101</v>
      </c>
      <c r="F40" s="20">
        <v>109</v>
      </c>
      <c r="G40" s="11" t="s">
        <v>55</v>
      </c>
      <c r="H40" s="2">
        <v>101</v>
      </c>
      <c r="I40" s="2">
        <v>201</v>
      </c>
      <c r="J40" s="10" t="s">
        <v>68</v>
      </c>
      <c r="K40" s="2" t="s">
        <v>48</v>
      </c>
      <c r="L40" s="2">
        <v>-4</v>
      </c>
      <c r="M40" s="2">
        <v>-16.84</v>
      </c>
      <c r="N40" s="2">
        <v>3</v>
      </c>
      <c r="O40" s="2">
        <v>3</v>
      </c>
      <c r="P40" s="2" t="s">
        <v>39</v>
      </c>
      <c r="Q40" s="2">
        <v>50001</v>
      </c>
    </row>
    <row r="41" spans="2:17" ht="20.100000000000001" customHeight="1">
      <c r="B41" s="17">
        <v>1</v>
      </c>
      <c r="C41" s="18">
        <v>2</v>
      </c>
      <c r="D41" s="2" t="s">
        <v>61</v>
      </c>
      <c r="E41" s="17">
        <v>101</v>
      </c>
      <c r="F41" s="20">
        <v>102</v>
      </c>
      <c r="G41" s="11" t="s">
        <v>48</v>
      </c>
      <c r="H41" s="2">
        <v>101</v>
      </c>
      <c r="I41" s="2">
        <v>201</v>
      </c>
      <c r="J41" s="10" t="s">
        <v>31</v>
      </c>
      <c r="K41" s="2" t="s">
        <v>48</v>
      </c>
      <c r="L41" s="2">
        <v>-4</v>
      </c>
      <c r="M41" s="2">
        <v>-16.84</v>
      </c>
      <c r="N41" s="2">
        <v>3</v>
      </c>
      <c r="O41" s="2">
        <v>3</v>
      </c>
      <c r="P41" s="2" t="s">
        <v>39</v>
      </c>
      <c r="Q41" s="2">
        <v>50001</v>
      </c>
    </row>
    <row r="42" spans="2:17" ht="20.100000000000001" customHeight="1">
      <c r="B42" s="17">
        <v>3</v>
      </c>
      <c r="C42" s="18">
        <v>6</v>
      </c>
      <c r="D42" s="2" t="s">
        <v>61</v>
      </c>
      <c r="E42" s="17">
        <v>101</v>
      </c>
      <c r="F42" s="20">
        <v>102</v>
      </c>
      <c r="G42" s="11" t="s">
        <v>55</v>
      </c>
      <c r="H42" s="2">
        <v>101</v>
      </c>
      <c r="I42" s="2">
        <v>201</v>
      </c>
      <c r="J42" s="10" t="s">
        <v>68</v>
      </c>
      <c r="K42" s="2" t="s">
        <v>48</v>
      </c>
      <c r="L42" s="2">
        <v>-4</v>
      </c>
      <c r="M42" s="2">
        <v>-16.84</v>
      </c>
      <c r="N42" s="2">
        <v>3</v>
      </c>
      <c r="O42" s="2">
        <v>3</v>
      </c>
      <c r="P42" s="2" t="s">
        <v>39</v>
      </c>
      <c r="Q42" s="2">
        <v>50001</v>
      </c>
    </row>
    <row r="43" spans="2:17" ht="20.100000000000001" customHeight="1">
      <c r="B43" s="17">
        <v>2</v>
      </c>
      <c r="C43" s="18">
        <v>4</v>
      </c>
      <c r="D43" s="2" t="s">
        <v>61</v>
      </c>
      <c r="E43" s="17">
        <v>101</v>
      </c>
      <c r="F43" s="20">
        <v>102</v>
      </c>
      <c r="G43" s="11" t="s">
        <v>55</v>
      </c>
      <c r="H43" s="2">
        <v>101</v>
      </c>
      <c r="I43" s="2">
        <v>201</v>
      </c>
      <c r="J43" s="10" t="s">
        <v>68</v>
      </c>
      <c r="K43" s="2" t="s">
        <v>48</v>
      </c>
      <c r="L43" s="2">
        <v>-4</v>
      </c>
      <c r="M43" s="2">
        <v>-16.84</v>
      </c>
      <c r="N43" s="2">
        <v>3</v>
      </c>
      <c r="O43" s="2">
        <v>3</v>
      </c>
      <c r="P43" s="2" t="s">
        <v>39</v>
      </c>
      <c r="Q43" s="2">
        <v>50001</v>
      </c>
    </row>
    <row r="44" spans="2:17" ht="20.100000000000001" customHeight="1">
      <c r="B44" s="17">
        <v>3</v>
      </c>
      <c r="C44" s="18">
        <v>6</v>
      </c>
      <c r="D44" s="2" t="s">
        <v>61</v>
      </c>
      <c r="E44" s="17">
        <v>101</v>
      </c>
      <c r="F44" s="20">
        <v>102</v>
      </c>
      <c r="G44" s="11" t="s">
        <v>55</v>
      </c>
      <c r="H44" s="2">
        <v>101</v>
      </c>
      <c r="I44" s="2">
        <v>201</v>
      </c>
      <c r="J44" s="10" t="s">
        <v>68</v>
      </c>
      <c r="K44" s="2" t="s">
        <v>48</v>
      </c>
      <c r="L44" s="2">
        <v>-4</v>
      </c>
      <c r="M44" s="2">
        <v>-16.84</v>
      </c>
      <c r="N44" s="2">
        <v>3</v>
      </c>
      <c r="O44" s="2">
        <v>3</v>
      </c>
      <c r="P44" s="2" t="s">
        <v>39</v>
      </c>
      <c r="Q44" s="2">
        <v>50001</v>
      </c>
    </row>
    <row r="45" spans="2:17" ht="20.100000000000001" customHeight="1">
      <c r="B45" s="17">
        <v>1</v>
      </c>
      <c r="C45" s="18">
        <v>2</v>
      </c>
      <c r="D45" s="2" t="s">
        <v>61</v>
      </c>
      <c r="E45" s="17">
        <v>101</v>
      </c>
      <c r="F45" s="20">
        <v>102</v>
      </c>
      <c r="G45" s="11" t="s">
        <v>55</v>
      </c>
      <c r="H45" s="2">
        <v>101</v>
      </c>
      <c r="I45" s="2">
        <v>201</v>
      </c>
      <c r="J45" s="10" t="s">
        <v>68</v>
      </c>
      <c r="K45" s="2" t="s">
        <v>48</v>
      </c>
      <c r="L45" s="2">
        <v>-4</v>
      </c>
      <c r="M45" s="2">
        <v>-16.84</v>
      </c>
      <c r="N45" s="2">
        <v>3</v>
      </c>
      <c r="O45" s="2">
        <v>3</v>
      </c>
      <c r="P45" s="2" t="s">
        <v>39</v>
      </c>
      <c r="Q45" s="2">
        <v>50001</v>
      </c>
    </row>
    <row r="46" spans="2:17" ht="20.100000000000001" customHeight="1">
      <c r="B46" s="17">
        <v>1</v>
      </c>
      <c r="C46" s="18">
        <v>4</v>
      </c>
      <c r="D46" s="2" t="s">
        <v>61</v>
      </c>
      <c r="E46" s="17">
        <v>101</v>
      </c>
      <c r="F46" s="20">
        <v>103</v>
      </c>
      <c r="G46" s="11" t="s">
        <v>48</v>
      </c>
      <c r="H46" s="2">
        <v>101</v>
      </c>
      <c r="I46" s="2">
        <v>201</v>
      </c>
      <c r="J46" s="10" t="s">
        <v>31</v>
      </c>
      <c r="K46" s="2" t="s">
        <v>48</v>
      </c>
      <c r="L46" s="2">
        <v>-4</v>
      </c>
      <c r="M46" s="2">
        <v>-16.84</v>
      </c>
      <c r="N46" s="2">
        <v>3</v>
      </c>
      <c r="O46" s="2">
        <v>3</v>
      </c>
      <c r="P46" s="2" t="s">
        <v>39</v>
      </c>
      <c r="Q46" s="2">
        <v>50001</v>
      </c>
    </row>
    <row r="47" spans="2:17" ht="20.100000000000001" customHeight="1">
      <c r="B47" s="17">
        <v>1</v>
      </c>
      <c r="C47" s="18">
        <v>6</v>
      </c>
      <c r="D47" s="2" t="s">
        <v>61</v>
      </c>
      <c r="E47" s="17">
        <v>101</v>
      </c>
      <c r="F47" s="20">
        <v>104</v>
      </c>
      <c r="G47" s="11" t="s">
        <v>55</v>
      </c>
      <c r="H47" s="2">
        <v>101</v>
      </c>
      <c r="I47" s="2">
        <v>201</v>
      </c>
      <c r="J47" s="10" t="s">
        <v>68</v>
      </c>
      <c r="K47" s="2" t="s">
        <v>48</v>
      </c>
      <c r="L47" s="2">
        <v>-4</v>
      </c>
      <c r="M47" s="2">
        <v>-16.84</v>
      </c>
      <c r="N47" s="2">
        <v>3</v>
      </c>
      <c r="O47" s="2">
        <v>3</v>
      </c>
      <c r="P47" s="2" t="s">
        <v>39</v>
      </c>
      <c r="Q47" s="2">
        <v>50001</v>
      </c>
    </row>
    <row r="48" spans="2:17" ht="20.100000000000001" customHeight="1">
      <c r="B48" s="17">
        <v>1</v>
      </c>
      <c r="C48" s="18">
        <v>4</v>
      </c>
      <c r="D48" s="2" t="s">
        <v>61</v>
      </c>
      <c r="E48" s="17">
        <v>101</v>
      </c>
      <c r="F48" s="20">
        <v>105</v>
      </c>
      <c r="G48" s="11" t="s">
        <v>55</v>
      </c>
      <c r="H48" s="2">
        <v>101</v>
      </c>
      <c r="I48" s="2">
        <v>201</v>
      </c>
      <c r="J48" s="10" t="s">
        <v>68</v>
      </c>
      <c r="K48" s="2" t="s">
        <v>48</v>
      </c>
      <c r="L48" s="2">
        <v>-4</v>
      </c>
      <c r="M48" s="2">
        <v>-16.84</v>
      </c>
      <c r="N48" s="2">
        <v>3</v>
      </c>
      <c r="O48" s="2">
        <v>3</v>
      </c>
      <c r="P48" s="2" t="s">
        <v>39</v>
      </c>
      <c r="Q48" s="2">
        <v>50001</v>
      </c>
    </row>
    <row r="49" spans="2:17" ht="20.100000000000001" customHeight="1">
      <c r="B49" s="17">
        <v>1</v>
      </c>
      <c r="C49" s="18">
        <v>2</v>
      </c>
      <c r="D49" s="2" t="s">
        <v>63</v>
      </c>
      <c r="E49" s="17">
        <v>101</v>
      </c>
      <c r="F49" s="20">
        <v>106</v>
      </c>
      <c r="G49" s="11" t="s">
        <v>48</v>
      </c>
      <c r="H49" s="2">
        <v>101</v>
      </c>
      <c r="I49" s="2">
        <v>201</v>
      </c>
      <c r="J49" s="10" t="s">
        <v>31</v>
      </c>
      <c r="K49" s="2" t="s">
        <v>48</v>
      </c>
      <c r="L49" s="2">
        <v>-4</v>
      </c>
      <c r="M49" s="2">
        <v>-16.84</v>
      </c>
      <c r="N49" s="2">
        <v>3</v>
      </c>
      <c r="O49" s="2">
        <v>3</v>
      </c>
      <c r="P49" s="2" t="s">
        <v>39</v>
      </c>
      <c r="Q49" s="2">
        <v>50001</v>
      </c>
    </row>
    <row r="50" spans="2:17" ht="20.100000000000001" customHeight="1">
      <c r="B50" s="17">
        <v>1</v>
      </c>
      <c r="C50" s="18">
        <v>2</v>
      </c>
      <c r="D50" s="2" t="s">
        <v>63</v>
      </c>
      <c r="E50" s="17">
        <v>101</v>
      </c>
      <c r="F50" s="20">
        <v>106</v>
      </c>
      <c r="G50" s="11" t="s">
        <v>55</v>
      </c>
      <c r="H50" s="2">
        <v>102</v>
      </c>
      <c r="I50" s="2">
        <v>202</v>
      </c>
      <c r="J50" s="10" t="s">
        <v>69</v>
      </c>
      <c r="K50" s="2" t="s">
        <v>55</v>
      </c>
      <c r="L50" s="2">
        <v>-4</v>
      </c>
      <c r="M50" s="2">
        <v>-16.84</v>
      </c>
      <c r="N50" s="2">
        <v>101</v>
      </c>
      <c r="O50" s="2">
        <v>301</v>
      </c>
      <c r="P50" s="2" t="s">
        <v>72</v>
      </c>
      <c r="Q50" s="2">
        <v>60001</v>
      </c>
    </row>
    <row r="51" spans="2:17" ht="20.100000000000001" customHeight="1">
      <c r="B51" s="17">
        <v>1</v>
      </c>
      <c r="C51" s="18">
        <v>4</v>
      </c>
      <c r="D51" s="2" t="s">
        <v>65</v>
      </c>
      <c r="E51" s="17">
        <v>101</v>
      </c>
      <c r="F51" s="20">
        <v>107</v>
      </c>
      <c r="G51" s="11" t="s">
        <v>48</v>
      </c>
      <c r="H51" s="2">
        <v>101</v>
      </c>
      <c r="I51" s="2">
        <v>202</v>
      </c>
      <c r="J51" s="10" t="s">
        <v>31</v>
      </c>
      <c r="K51" s="2" t="s">
        <v>48</v>
      </c>
      <c r="L51" s="2">
        <v>-4</v>
      </c>
      <c r="M51" s="2">
        <v>-16.84</v>
      </c>
      <c r="N51" s="2">
        <v>3</v>
      </c>
      <c r="O51" s="2">
        <v>3</v>
      </c>
      <c r="P51" s="2" t="s">
        <v>39</v>
      </c>
      <c r="Q51" s="2">
        <v>50001</v>
      </c>
    </row>
    <row r="52" spans="2:17" ht="20.100000000000001" customHeight="1">
      <c r="B52" s="17">
        <v>1</v>
      </c>
      <c r="C52" s="18">
        <v>6</v>
      </c>
      <c r="D52" s="2" t="s">
        <v>65</v>
      </c>
      <c r="E52" s="17">
        <v>101</v>
      </c>
      <c r="F52" s="20">
        <v>108</v>
      </c>
      <c r="G52" s="11" t="s">
        <v>55</v>
      </c>
      <c r="H52" s="2">
        <v>101</v>
      </c>
      <c r="I52" s="2">
        <v>201</v>
      </c>
      <c r="J52" s="10" t="s">
        <v>70</v>
      </c>
      <c r="K52" s="2" t="s">
        <v>48</v>
      </c>
      <c r="L52" s="2">
        <v>-4</v>
      </c>
      <c r="M52" s="2">
        <v>-16.84</v>
      </c>
      <c r="N52" s="2">
        <v>3</v>
      </c>
      <c r="O52" s="2">
        <v>3</v>
      </c>
      <c r="P52" s="2" t="s">
        <v>39</v>
      </c>
      <c r="Q52" s="2">
        <v>50001</v>
      </c>
    </row>
    <row r="53" spans="2:17" ht="20.100000000000001" customHeight="1">
      <c r="B53" s="17">
        <v>1</v>
      </c>
      <c r="C53" s="18">
        <v>4</v>
      </c>
      <c r="D53" s="2" t="s">
        <v>65</v>
      </c>
      <c r="E53" s="17">
        <v>101</v>
      </c>
      <c r="F53" s="20">
        <v>109</v>
      </c>
      <c r="G53" s="11" t="s">
        <v>55</v>
      </c>
      <c r="H53" s="2">
        <v>101</v>
      </c>
      <c r="I53" s="2">
        <v>201</v>
      </c>
      <c r="J53" s="10" t="s">
        <v>70</v>
      </c>
      <c r="K53" s="2" t="s">
        <v>48</v>
      </c>
      <c r="L53" s="2">
        <v>-4</v>
      </c>
      <c r="M53" s="2">
        <v>-16.84</v>
      </c>
      <c r="N53" s="2">
        <v>3</v>
      </c>
      <c r="O53" s="2">
        <v>3</v>
      </c>
      <c r="P53" s="2" t="s">
        <v>39</v>
      </c>
      <c r="Q53" s="2">
        <v>50001</v>
      </c>
    </row>
    <row r="54" spans="2:17" ht="20.100000000000001" customHeight="1">
      <c r="B54" s="17">
        <v>1</v>
      </c>
      <c r="C54" s="18">
        <v>2</v>
      </c>
      <c r="D54" s="2" t="s">
        <v>65</v>
      </c>
      <c r="E54" s="17">
        <v>101</v>
      </c>
      <c r="F54" s="20">
        <v>102</v>
      </c>
      <c r="G54" s="11" t="s">
        <v>48</v>
      </c>
      <c r="H54" s="2">
        <v>101</v>
      </c>
      <c r="I54" s="2">
        <v>201</v>
      </c>
      <c r="J54" s="10" t="s">
        <v>31</v>
      </c>
      <c r="K54" s="2" t="s">
        <v>48</v>
      </c>
      <c r="L54" s="2">
        <v>-4</v>
      </c>
      <c r="M54" s="2">
        <v>-16.84</v>
      </c>
      <c r="N54" s="2">
        <v>3</v>
      </c>
      <c r="O54" s="2">
        <v>3</v>
      </c>
      <c r="P54" s="2" t="s">
        <v>39</v>
      </c>
      <c r="Q54" s="2">
        <v>50001</v>
      </c>
    </row>
    <row r="55" spans="2:17" ht="20.100000000000001" customHeight="1">
      <c r="B55" s="17">
        <v>4</v>
      </c>
      <c r="C55" s="18">
        <v>6</v>
      </c>
      <c r="D55" s="2" t="s">
        <v>65</v>
      </c>
      <c r="E55" s="17">
        <v>101</v>
      </c>
      <c r="F55" s="20">
        <v>102</v>
      </c>
      <c r="G55" s="11" t="s">
        <v>55</v>
      </c>
      <c r="H55" s="2">
        <v>101</v>
      </c>
      <c r="I55" s="2">
        <v>201</v>
      </c>
      <c r="J55" s="10" t="s">
        <v>70</v>
      </c>
      <c r="K55" s="2" t="s">
        <v>48</v>
      </c>
      <c r="L55" s="2">
        <v>-4</v>
      </c>
      <c r="M55" s="2">
        <v>-16.84</v>
      </c>
      <c r="N55" s="2">
        <v>3</v>
      </c>
      <c r="O55" s="2">
        <v>3</v>
      </c>
      <c r="P55" s="2" t="s">
        <v>39</v>
      </c>
      <c r="Q55" s="2">
        <v>50001</v>
      </c>
    </row>
    <row r="56" spans="2:17" ht="20.100000000000001" customHeight="1">
      <c r="B56" s="17">
        <v>1</v>
      </c>
      <c r="C56" s="18">
        <v>4.5</v>
      </c>
      <c r="D56" s="2" t="s">
        <v>65</v>
      </c>
      <c r="E56" s="17">
        <v>101</v>
      </c>
      <c r="F56" s="20">
        <v>102</v>
      </c>
      <c r="G56" s="11" t="s">
        <v>55</v>
      </c>
      <c r="H56" s="2">
        <v>101</v>
      </c>
      <c r="I56" s="2">
        <v>201</v>
      </c>
      <c r="J56" s="10" t="s">
        <v>70</v>
      </c>
      <c r="K56" s="2" t="s">
        <v>48</v>
      </c>
      <c r="L56" s="2">
        <v>-4</v>
      </c>
      <c r="M56" s="2">
        <v>-16.84</v>
      </c>
      <c r="N56" s="2">
        <v>3</v>
      </c>
      <c r="O56" s="2">
        <v>3</v>
      </c>
      <c r="P56" s="2" t="s">
        <v>39</v>
      </c>
      <c r="Q56" s="2">
        <v>50001</v>
      </c>
    </row>
    <row r="57" spans="2:17" ht="20.100000000000001" customHeight="1">
      <c r="B57" s="17">
        <v>1</v>
      </c>
      <c r="C57" s="18">
        <v>1.1000000000000001</v>
      </c>
      <c r="D57" s="2" t="s">
        <v>65</v>
      </c>
      <c r="E57" s="17">
        <v>101</v>
      </c>
      <c r="F57" s="20">
        <v>101</v>
      </c>
      <c r="G57" s="11" t="s">
        <v>48</v>
      </c>
      <c r="H57" s="2">
        <v>101</v>
      </c>
      <c r="I57" s="2">
        <v>201</v>
      </c>
      <c r="J57" s="10" t="s">
        <v>31</v>
      </c>
      <c r="K57" s="2" t="s">
        <v>48</v>
      </c>
      <c r="L57" s="2">
        <v>-4</v>
      </c>
      <c r="M57" s="2">
        <v>-16.84</v>
      </c>
      <c r="N57" s="2">
        <v>3</v>
      </c>
      <c r="O57" s="2">
        <v>3</v>
      </c>
      <c r="P57" s="2" t="s">
        <v>39</v>
      </c>
      <c r="Q57" s="2">
        <v>50001</v>
      </c>
    </row>
    <row r="58" spans="2:17" ht="20.100000000000001" customHeight="1">
      <c r="B58" s="17">
        <v>1</v>
      </c>
      <c r="C58" s="18">
        <v>0.7</v>
      </c>
      <c r="D58" s="2" t="s">
        <v>65</v>
      </c>
      <c r="E58" s="17">
        <v>101</v>
      </c>
      <c r="F58" s="20">
        <v>101</v>
      </c>
      <c r="G58" s="11" t="s">
        <v>55</v>
      </c>
      <c r="H58" s="2">
        <v>101</v>
      </c>
      <c r="I58" s="2">
        <v>201</v>
      </c>
      <c r="J58" s="10" t="s">
        <v>70</v>
      </c>
      <c r="K58" s="2" t="s">
        <v>48</v>
      </c>
      <c r="L58" s="2">
        <v>-4</v>
      </c>
      <c r="M58" s="2">
        <v>-16.84</v>
      </c>
      <c r="N58" s="2">
        <v>3</v>
      </c>
      <c r="O58" s="2">
        <v>3</v>
      </c>
      <c r="P58" s="2" t="s">
        <v>39</v>
      </c>
      <c r="Q58" s="2">
        <v>50001</v>
      </c>
    </row>
    <row r="59" spans="2:17" ht="20.100000000000001" customHeight="1">
      <c r="B59" s="5"/>
      <c r="C59" s="19">
        <f>SUMPRODUCT(B28:B58,C28:C58)</f>
        <v>176.6</v>
      </c>
      <c r="D59" s="16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7" t="s">
        <v>43</v>
      </c>
    </row>
    <row r="84" spans="7:9" ht="20.100000000000001" customHeight="1">
      <c r="G84" s="1"/>
      <c r="H84" s="1"/>
      <c r="I84" s="1"/>
    </row>
  </sheetData>
  <dataConsolidate/>
  <mergeCells count="8">
    <mergeCell ref="B18:C19"/>
    <mergeCell ref="D18:F18"/>
    <mergeCell ref="B26:F26"/>
    <mergeCell ref="G26:J26"/>
    <mergeCell ref="K26:Q26"/>
    <mergeCell ref="B20:C20"/>
    <mergeCell ref="B21:C21"/>
    <mergeCell ref="B22:C22"/>
  </mergeCells>
  <phoneticPr fontId="1" type="noConversion"/>
  <conditionalFormatting sqref="H28:H58">
    <cfRule type="expression" dxfId="8" priority="9">
      <formula>G28="none"</formula>
    </cfRule>
  </conditionalFormatting>
  <conditionalFormatting sqref="I28:I58">
    <cfRule type="expression" dxfId="7" priority="8">
      <formula>G28="none"</formula>
    </cfRule>
  </conditionalFormatting>
  <conditionalFormatting sqref="J28:J58">
    <cfRule type="expression" dxfId="6" priority="7">
      <formula>G28="none"</formula>
    </cfRule>
  </conditionalFormatting>
  <conditionalFormatting sqref="L28:L58">
    <cfRule type="expression" dxfId="5" priority="6">
      <formula>K28="none"</formula>
    </cfRule>
  </conditionalFormatting>
  <conditionalFormatting sqref="M28:M58">
    <cfRule type="expression" dxfId="4" priority="5">
      <formula>K28="none"</formula>
    </cfRule>
  </conditionalFormatting>
  <conditionalFormatting sqref="N28:N58">
    <cfRule type="expression" dxfId="3" priority="4">
      <formula>K28="none"</formula>
    </cfRule>
  </conditionalFormatting>
  <conditionalFormatting sqref="O28:O58">
    <cfRule type="expression" dxfId="2" priority="3">
      <formula>K28="none"</formula>
    </cfRule>
  </conditionalFormatting>
  <conditionalFormatting sqref="P28:P58">
    <cfRule type="expression" dxfId="1" priority="2">
      <formula>K28="none"</formula>
    </cfRule>
  </conditionalFormatting>
  <conditionalFormatting sqref="Q28:Q58">
    <cfRule type="expression" dxfId="0" priority="1">
      <formula>K28="none"</formula>
    </cfRule>
  </conditionalFormatting>
  <dataValidations count="9">
    <dataValidation type="list" allowBlank="1" showInputMessage="1" showErrorMessage="1" sqref="B9:B13" xr:uid="{E177D058-9A39-4C16-BB32-FC6ADB3C51A1}">
      <formula1>"Straight,Arc,Clothoid,Cubic Parabola"</formula1>
    </dataValidation>
    <dataValidation type="whole" allowBlank="1" showInputMessage="1" showErrorMessage="1" sqref="B28:B58" xr:uid="{C96BFFC4-B9EB-4DC7-AC13-A96720138EF9}">
      <formula1>1</formula1>
      <formula2>100</formula2>
    </dataValidation>
    <dataValidation type="decimal" operator="greaterThan" allowBlank="1" showInputMessage="1" showErrorMessage="1" sqref="C9:C13 C28:C58" xr:uid="{193FBE75-F884-4110-AC53-55BF91B48006}">
      <formula1>0</formula1>
    </dataValidation>
    <dataValidation type="whole" allowBlank="1" showInputMessage="1" showErrorMessage="1" sqref="E28:F58 H28:I58 N28:O58" xr:uid="{1FC768D6-BD6A-4EC2-B349-9C9F165D87F1}">
      <formula1>1</formula1>
      <formula2>99999</formula2>
    </dataValidation>
    <dataValidation type="list" allowBlank="1" showInputMessage="1" showErrorMessage="1" sqref="K28:K58 G28:G58" xr:uid="{8371CF67-FCB3-49F7-A1AC-EB6986A8C920}">
      <formula1>"i-node,j-node,both,none"</formula1>
    </dataValidation>
    <dataValidation type="decimal" allowBlank="1" showInputMessage="1" showErrorMessage="1" sqref="L28:M58" xr:uid="{6EEB3AC1-A108-43C7-918F-F1DC0EC9D3ED}">
      <formula1>-1000000</formula1>
      <formula2>1000000</formula2>
    </dataValidation>
    <dataValidation type="whole" allowBlank="1" showInputMessage="1" showErrorMessage="1" sqref="D21:F22 Q28:Q58" xr:uid="{6FEBCBB2-03BD-4BF8-9535-7A130453BEE5}">
      <formula1>1</formula1>
      <formula2>999999</formula2>
    </dataValidation>
    <dataValidation type="decimal" allowBlank="1" showInputMessage="1" showErrorMessage="1" sqref="D20:F20" xr:uid="{F3F43B7B-7FFC-416E-9A6D-3D5769D479EC}">
      <formula1>-1000</formula1>
      <formula2>1000</formula2>
    </dataValidation>
    <dataValidation type="decimal" allowBlank="1" showInputMessage="1" showErrorMessage="1" sqref="D9:E13" xr:uid="{7E004CAE-3E64-496B-B968-CC32F898718D}">
      <formula1>-999999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ignment.BuildLayoutFromSheets">
                <anchor moveWithCells="1" sizeWithCells="1">
                  <from>
                    <xdr:col>15</xdr:col>
                    <xdr:colOff>381000</xdr:colOff>
                    <xdr:row>1</xdr:row>
                    <xdr:rowOff>114300</xdr:rowOff>
                  </from>
                  <to>
                    <xdr:col>18</xdr:col>
                    <xdr:colOff>123825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Civil.TestCreateCivil">
                <anchor moveWithCells="1" sizeWithCells="1">
                  <from>
                    <xdr:col>15</xdr:col>
                    <xdr:colOff>333375</xdr:colOff>
                    <xdr:row>3</xdr:row>
                    <xdr:rowOff>219075</xdr:rowOff>
                  </from>
                  <to>
                    <xdr:col>18</xdr:col>
                    <xdr:colOff>152400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UnifiedLayout</vt:lpstr>
      <vt:lpstr>Alignment</vt:lpstr>
      <vt:lpstr>Alignment</vt:lpstr>
      <vt:lpstr>MAPI</vt:lpstr>
      <vt:lpstr>Offset</vt:lpstr>
      <vt:lpstr>Segment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윤재웅</dc:creator>
  <cp:lastModifiedBy>黃 michael</cp:lastModifiedBy>
  <dcterms:created xsi:type="dcterms:W3CDTF">2025-09-01T04:17:44Z</dcterms:created>
  <dcterms:modified xsi:type="dcterms:W3CDTF">2025-09-04T09:04:51Z</dcterms:modified>
</cp:coreProperties>
</file>